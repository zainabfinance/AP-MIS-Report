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zainab\Desktop\Master File\Projects\Projects Sample\"/>
    </mc:Choice>
  </mc:AlternateContent>
  <xr:revisionPtr revIDLastSave="0" documentId="13_ncr:1_{ADCCC8DA-C182-467D-AFDB-E988CE1BDD9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 Data" sheetId="1" r:id="rId1"/>
    <sheet name="MIS Summary" sheetId="2" r:id="rId2"/>
    <sheet name="Monthly Trend" sheetId="3" r:id="rId3"/>
    <sheet name="Aging Analysis" sheetId="4" r:id="rId4"/>
    <sheet name="Vendor Analysis" sheetId="5" r:id="rId5"/>
    <sheet name="Exception Report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2" l="1"/>
  <c r="C5" i="2"/>
  <c r="A5" i="2"/>
  <c r="F13" i="5"/>
  <c r="E13" i="5"/>
  <c r="D13" i="5"/>
  <c r="G13" i="5" s="1"/>
  <c r="C13" i="5"/>
  <c r="B13" i="5"/>
  <c r="G12" i="5"/>
  <c r="F12" i="5"/>
  <c r="E12" i="5"/>
  <c r="D12" i="5"/>
  <c r="C12" i="5"/>
  <c r="B12" i="5"/>
  <c r="G11" i="5"/>
  <c r="F11" i="5"/>
  <c r="E11" i="5"/>
  <c r="D11" i="5"/>
  <c r="C11" i="5"/>
  <c r="B11" i="5"/>
  <c r="G10" i="5"/>
  <c r="F10" i="5"/>
  <c r="E10" i="5"/>
  <c r="D10" i="5"/>
  <c r="C10" i="5"/>
  <c r="B10" i="5"/>
  <c r="G9" i="5"/>
  <c r="F9" i="5"/>
  <c r="E9" i="5"/>
  <c r="D9" i="5"/>
  <c r="C9" i="5"/>
  <c r="B9" i="5"/>
  <c r="G8" i="5"/>
  <c r="F8" i="5"/>
  <c r="E8" i="5"/>
  <c r="D8" i="5"/>
  <c r="C8" i="5"/>
  <c r="B8" i="5"/>
  <c r="G7" i="5"/>
  <c r="F7" i="5"/>
  <c r="E7" i="5"/>
  <c r="D7" i="5"/>
  <c r="C7" i="5"/>
  <c r="B7" i="5"/>
  <c r="G6" i="5"/>
  <c r="F6" i="5"/>
  <c r="E6" i="5"/>
  <c r="D6" i="5"/>
  <c r="C6" i="5"/>
  <c r="B6" i="5"/>
  <c r="G5" i="5"/>
  <c r="F5" i="5"/>
  <c r="E5" i="5"/>
  <c r="D5" i="5"/>
  <c r="C5" i="5"/>
  <c r="B5" i="5"/>
  <c r="G4" i="5"/>
  <c r="F4" i="5"/>
  <c r="E4" i="5"/>
  <c r="D4" i="5"/>
  <c r="C4" i="5"/>
  <c r="B4" i="5"/>
  <c r="G3" i="5"/>
  <c r="F3" i="5"/>
  <c r="E3" i="5"/>
  <c r="D3" i="5"/>
  <c r="C3" i="5"/>
  <c r="B3" i="5"/>
  <c r="D7" i="4"/>
  <c r="C7" i="4"/>
  <c r="B7" i="4"/>
  <c r="D6" i="4"/>
  <c r="D5" i="4"/>
  <c r="D4" i="4"/>
  <c r="D3" i="4"/>
  <c r="F9" i="3"/>
  <c r="E9" i="3"/>
  <c r="D9" i="3"/>
  <c r="G9" i="3" s="1"/>
  <c r="C9" i="3"/>
  <c r="B9" i="3"/>
  <c r="G8" i="3"/>
  <c r="F8" i="3"/>
  <c r="E8" i="3"/>
  <c r="D8" i="3"/>
  <c r="C8" i="3"/>
  <c r="B8" i="3"/>
  <c r="G7" i="3"/>
  <c r="F7" i="3"/>
  <c r="E7" i="3"/>
  <c r="D7" i="3"/>
  <c r="C7" i="3"/>
  <c r="B7" i="3"/>
  <c r="G6" i="3"/>
  <c r="F6" i="3"/>
  <c r="E6" i="3"/>
  <c r="D6" i="3"/>
  <c r="C6" i="3"/>
  <c r="B6" i="3"/>
  <c r="G5" i="3"/>
  <c r="F5" i="3"/>
  <c r="E5" i="3"/>
  <c r="D5" i="3"/>
  <c r="C5" i="3"/>
  <c r="B5" i="3"/>
  <c r="G4" i="3"/>
  <c r="F4" i="3"/>
  <c r="E4" i="3"/>
  <c r="D4" i="3"/>
  <c r="C4" i="3"/>
  <c r="B4" i="3"/>
  <c r="G3" i="3"/>
  <c r="F3" i="3"/>
  <c r="E3" i="3"/>
  <c r="D3" i="3"/>
  <c r="C3" i="3"/>
  <c r="B3" i="3"/>
  <c r="H19" i="2"/>
  <c r="G19" i="2"/>
  <c r="H18" i="2"/>
  <c r="G18" i="2"/>
  <c r="H17" i="2"/>
  <c r="G17" i="2"/>
  <c r="H16" i="2"/>
  <c r="G16" i="2"/>
  <c r="H15" i="2"/>
  <c r="G15" i="2"/>
  <c r="C15" i="2"/>
  <c r="D14" i="2" s="1"/>
  <c r="B15" i="2"/>
  <c r="H14" i="2"/>
  <c r="G14" i="2"/>
  <c r="C14" i="2"/>
  <c r="B14" i="2"/>
  <c r="H13" i="2"/>
  <c r="G13" i="2"/>
  <c r="D13" i="2"/>
  <c r="C13" i="2"/>
  <c r="B13" i="2"/>
  <c r="H12" i="2"/>
  <c r="G12" i="2"/>
  <c r="C12" i="2"/>
  <c r="B12" i="2"/>
  <c r="I5" i="2"/>
  <c r="G5" i="2"/>
  <c r="E5" i="2"/>
  <c r="D15" i="2" l="1"/>
</calcChain>
</file>

<file path=xl/sharedStrings.xml><?xml version="1.0" encoding="utf-8"?>
<sst xmlns="http://schemas.openxmlformats.org/spreadsheetml/2006/main" count="660" uniqueCount="298">
  <si>
    <t>Invoice No</t>
  </si>
  <si>
    <t>Vendor Name</t>
  </si>
  <si>
    <t>Department</t>
  </si>
  <si>
    <t>Invoice Date</t>
  </si>
  <si>
    <t>Due Date</t>
  </si>
  <si>
    <t>Amount (₹)</t>
  </si>
  <si>
    <t>Payment Status</t>
  </si>
  <si>
    <t>Month</t>
  </si>
  <si>
    <t>PO Number</t>
  </si>
  <si>
    <t>Remarks</t>
  </si>
  <si>
    <t>INV-1001</t>
  </si>
  <si>
    <t>Tata Consultancy</t>
  </si>
  <si>
    <t>Finance</t>
  </si>
  <si>
    <t>21/01/2026</t>
  </si>
  <si>
    <t>04/02/2026</t>
  </si>
  <si>
    <t>Paid</t>
  </si>
  <si>
    <t>Jan-26</t>
  </si>
  <si>
    <t>PO-2000</t>
  </si>
  <si>
    <t>On time</t>
  </si>
  <si>
    <t>INV-1002</t>
  </si>
  <si>
    <t>Infosys Ltd</t>
  </si>
  <si>
    <t>IT</t>
  </si>
  <si>
    <t>24/01/2026</t>
  </si>
  <si>
    <t>09/02/2026</t>
  </si>
  <si>
    <t>PO-2001</t>
  </si>
  <si>
    <t>INV-1003</t>
  </si>
  <si>
    <t>Wipro India</t>
  </si>
  <si>
    <t>HR</t>
  </si>
  <si>
    <t>08/02/2026</t>
  </si>
  <si>
    <t>05/03/2026</t>
  </si>
  <si>
    <t>Feb-26</t>
  </si>
  <si>
    <t>PO-2002</t>
  </si>
  <si>
    <t>INV-1004</t>
  </si>
  <si>
    <t>HCL Tech</t>
  </si>
  <si>
    <t>Operations</t>
  </si>
  <si>
    <t>22/02/2026</t>
  </si>
  <si>
    <t>24/03/2026</t>
  </si>
  <si>
    <t>Pending</t>
  </si>
  <si>
    <t>PO-2003</t>
  </si>
  <si>
    <t>INV-1005</t>
  </si>
  <si>
    <t>Reliance Retail</t>
  </si>
  <si>
    <t>Procurement</t>
  </si>
  <si>
    <t>03/03/2026</t>
  </si>
  <si>
    <t>19/04/2026</t>
  </si>
  <si>
    <t>Overdue</t>
  </si>
  <si>
    <t>Mar-26</t>
  </si>
  <si>
    <t>PO-2004</t>
  </si>
  <si>
    <t>Follow up needed</t>
  </si>
  <si>
    <t>INV-1006</t>
  </si>
  <si>
    <t>Sun Pharma</t>
  </si>
  <si>
    <t>02/03/2026</t>
  </si>
  <si>
    <t>01/04/2026</t>
  </si>
  <si>
    <t>PO-2005</t>
  </si>
  <si>
    <t>INV-1007</t>
  </si>
  <si>
    <t>Asian Paints</t>
  </si>
  <si>
    <t>07/04/2026</t>
  </si>
  <si>
    <t>08/05/2026</t>
  </si>
  <si>
    <t>Apr-26</t>
  </si>
  <si>
    <t>PO-2006</t>
  </si>
  <si>
    <t>INV-1008</t>
  </si>
  <si>
    <t>HDFC Securities</t>
  </si>
  <si>
    <t>20/04/2026</t>
  </si>
  <si>
    <t>01/05/2026</t>
  </si>
  <si>
    <t>PO-2007</t>
  </si>
  <si>
    <t>INV-1009</t>
  </si>
  <si>
    <t>Bajaj Auto</t>
  </si>
  <si>
    <t>07/05/2026</t>
  </si>
  <si>
    <t>23/06/2026</t>
  </si>
  <si>
    <t>May-26</t>
  </si>
  <si>
    <t>PO-2008</t>
  </si>
  <si>
    <t>INV-1010</t>
  </si>
  <si>
    <t>Mahindra Ltd</t>
  </si>
  <si>
    <t>23/05/2026</t>
  </si>
  <si>
    <t>18/06/2026</t>
  </si>
  <si>
    <t>PO-2009</t>
  </si>
  <si>
    <t>INV-1011</t>
  </si>
  <si>
    <t>08/06/2026</t>
  </si>
  <si>
    <t>15/07/2026</t>
  </si>
  <si>
    <t>Jun-26</t>
  </si>
  <si>
    <t>PO-2010</t>
  </si>
  <si>
    <t>INV-1012</t>
  </si>
  <si>
    <t>09/06/2026</t>
  </si>
  <si>
    <t>26/07/2026</t>
  </si>
  <si>
    <t>PO-2011</t>
  </si>
  <si>
    <t>INV-1013</t>
  </si>
  <si>
    <t>25/01/2026</t>
  </si>
  <si>
    <t>26/02/2026</t>
  </si>
  <si>
    <t>PO-2012</t>
  </si>
  <si>
    <t>INV-1014</t>
  </si>
  <si>
    <t>23/01/2026</t>
  </si>
  <si>
    <t>14/02/2026</t>
  </si>
  <si>
    <t>PO-2013</t>
  </si>
  <si>
    <t>INV-1015</t>
  </si>
  <si>
    <t>PO-2014</t>
  </si>
  <si>
    <t>INV-1016</t>
  </si>
  <si>
    <t>25/02/2026</t>
  </si>
  <si>
    <t>11/03/2026</t>
  </si>
  <si>
    <t>PO-2015</t>
  </si>
  <si>
    <t>INV-1017</t>
  </si>
  <si>
    <t>13/04/2026</t>
  </si>
  <si>
    <t>PO-2016</t>
  </si>
  <si>
    <t>INV-1018</t>
  </si>
  <si>
    <t>12/03/2026</t>
  </si>
  <si>
    <t>28/04/2026</t>
  </si>
  <si>
    <t>PO-2017</t>
  </si>
  <si>
    <t>INV-1019</t>
  </si>
  <si>
    <t>09/05/2026</t>
  </si>
  <si>
    <t>PO-2018</t>
  </si>
  <si>
    <t>INV-1020</t>
  </si>
  <si>
    <t>24/04/2026</t>
  </si>
  <si>
    <t>15/05/2026</t>
  </si>
  <si>
    <t>PO-2019</t>
  </si>
  <si>
    <t>INV-1021</t>
  </si>
  <si>
    <t>04/05/2026</t>
  </si>
  <si>
    <t>13/06/2026</t>
  </si>
  <si>
    <t>PO-2020</t>
  </si>
  <si>
    <t>INV-1022</t>
  </si>
  <si>
    <t>18/05/2026</t>
  </si>
  <si>
    <t>10/06/2026</t>
  </si>
  <si>
    <t>PO-2021</t>
  </si>
  <si>
    <t>INV-1023</t>
  </si>
  <si>
    <t>20/06/2026</t>
  </si>
  <si>
    <t>28/07/2026</t>
  </si>
  <si>
    <t>PO-2022</t>
  </si>
  <si>
    <t>INV-1024</t>
  </si>
  <si>
    <t>19/06/2026</t>
  </si>
  <si>
    <t>07/07/2026</t>
  </si>
  <si>
    <t>PO-2023</t>
  </si>
  <si>
    <t>INV-1025</t>
  </si>
  <si>
    <t>03/01/2026</t>
  </si>
  <si>
    <t>02/02/2026</t>
  </si>
  <si>
    <t>PO-2024</t>
  </si>
  <si>
    <t>INV-1026</t>
  </si>
  <si>
    <t>08/01/2026</t>
  </si>
  <si>
    <t>PO-2025</t>
  </si>
  <si>
    <t>INV-1027</t>
  </si>
  <si>
    <t>03/02/2026</t>
  </si>
  <si>
    <t>28/03/2026</t>
  </si>
  <si>
    <t>PO-2026</t>
  </si>
  <si>
    <t>INV-1028</t>
  </si>
  <si>
    <t>28/02/2026</t>
  </si>
  <si>
    <t>04/03/2026</t>
  </si>
  <si>
    <t>PO-2027</t>
  </si>
  <si>
    <t>INV-1029</t>
  </si>
  <si>
    <t>09/03/2026</t>
  </si>
  <si>
    <t>15/04/2026</t>
  </si>
  <si>
    <t>PO-2028</t>
  </si>
  <si>
    <t>INV-1030</t>
  </si>
  <si>
    <t>27/03/2026</t>
  </si>
  <si>
    <t>12/04/2026</t>
  </si>
  <si>
    <t>PO-2029</t>
  </si>
  <si>
    <t>INV-1031</t>
  </si>
  <si>
    <t>12/05/2026</t>
  </si>
  <si>
    <t>PO-2030</t>
  </si>
  <si>
    <t>INV-1032</t>
  </si>
  <si>
    <t>22/04/2026</t>
  </si>
  <si>
    <t>PO-2031</t>
  </si>
  <si>
    <t>INV-1033</t>
  </si>
  <si>
    <t>22/05/2026</t>
  </si>
  <si>
    <t>21/06/2026</t>
  </si>
  <si>
    <t>PO-2032</t>
  </si>
  <si>
    <t>INV-1034</t>
  </si>
  <si>
    <t>20/05/2026</t>
  </si>
  <si>
    <t>PO-2033</t>
  </si>
  <si>
    <t>INV-1035</t>
  </si>
  <si>
    <t>24/07/2026</t>
  </si>
  <si>
    <t>PO-2034</t>
  </si>
  <si>
    <t>INV-1036</t>
  </si>
  <si>
    <t>06/06/2026</t>
  </si>
  <si>
    <t>PO-2035</t>
  </si>
  <si>
    <t>INV-1037</t>
  </si>
  <si>
    <t>09/01/2026</t>
  </si>
  <si>
    <t>21/02/2026</t>
  </si>
  <si>
    <t>PO-2036</t>
  </si>
  <si>
    <t>INV-1038</t>
  </si>
  <si>
    <t>18/01/2026</t>
  </si>
  <si>
    <t>PO-2037</t>
  </si>
  <si>
    <t>INV-1039</t>
  </si>
  <si>
    <t>11/02/2026</t>
  </si>
  <si>
    <t>PO-2038</t>
  </si>
  <si>
    <t>INV-1040</t>
  </si>
  <si>
    <t>PO-2039</t>
  </si>
  <si>
    <t>INV-1041</t>
  </si>
  <si>
    <t>26/03/2026</t>
  </si>
  <si>
    <t>11/04/2026</t>
  </si>
  <si>
    <t>PO-2040</t>
  </si>
  <si>
    <t>INV-1042</t>
  </si>
  <si>
    <t>03/04/2026</t>
  </si>
  <si>
    <t>PO-2041</t>
  </si>
  <si>
    <t>INV-1043</t>
  </si>
  <si>
    <t>PO-2042</t>
  </si>
  <si>
    <t>INV-1044</t>
  </si>
  <si>
    <t>21/05/2026</t>
  </si>
  <si>
    <t>PO-2043</t>
  </si>
  <si>
    <t>INV-1045</t>
  </si>
  <si>
    <t>13/05/2026</t>
  </si>
  <si>
    <t>PO-2044</t>
  </si>
  <si>
    <t>INV-1046</t>
  </si>
  <si>
    <t>05/05/2026</t>
  </si>
  <si>
    <t>PO-2045</t>
  </si>
  <si>
    <t>INV-1047</t>
  </si>
  <si>
    <t>PO-2046</t>
  </si>
  <si>
    <t>INV-1048</t>
  </si>
  <si>
    <t>09/07/2026</t>
  </si>
  <si>
    <t>PO-2047</t>
  </si>
  <si>
    <t>INV-1049</t>
  </si>
  <si>
    <t>14/01/2026</t>
  </si>
  <si>
    <t>19/02/2026</t>
  </si>
  <si>
    <t>PO-2048</t>
  </si>
  <si>
    <t>INV-1050</t>
  </si>
  <si>
    <t>12/01/2026</t>
  </si>
  <si>
    <t>PO-2049</t>
  </si>
  <si>
    <t>INV-1051</t>
  </si>
  <si>
    <t>17/02/2026</t>
  </si>
  <si>
    <t>16/03/2026</t>
  </si>
  <si>
    <t>PO-2050</t>
  </si>
  <si>
    <t>INV-1052</t>
  </si>
  <si>
    <t>PO-2051</t>
  </si>
  <si>
    <t>INV-1053</t>
  </si>
  <si>
    <t>21/04/2026</t>
  </si>
  <si>
    <t>PO-2052</t>
  </si>
  <si>
    <t>INV-1054</t>
  </si>
  <si>
    <t>PO-2053</t>
  </si>
  <si>
    <t>INV-1055</t>
  </si>
  <si>
    <t>03/05/2026</t>
  </si>
  <si>
    <t>PO-2054</t>
  </si>
  <si>
    <t>INV-1056</t>
  </si>
  <si>
    <t>PO-2055</t>
  </si>
  <si>
    <t>INV-1057</t>
  </si>
  <si>
    <t>17/05/2026</t>
  </si>
  <si>
    <t>PO-2056</t>
  </si>
  <si>
    <t>INV-1058</t>
  </si>
  <si>
    <t>28/05/2026</t>
  </si>
  <si>
    <t>01/06/2026</t>
  </si>
  <si>
    <t>PO-2057</t>
  </si>
  <si>
    <t>INV-1059</t>
  </si>
  <si>
    <t>24/06/2026</t>
  </si>
  <si>
    <t>04/07/2026</t>
  </si>
  <si>
    <t>PO-2058</t>
  </si>
  <si>
    <t>INV-1060</t>
  </si>
  <si>
    <t>25/07/2026</t>
  </si>
  <si>
    <t>PO-2059</t>
  </si>
  <si>
    <t>📊 ACCOUNTS PAYABLE — MIS REPORT | JUNE 2026</t>
  </si>
  <si>
    <t>Prepared by: Zainab Kousar Shaikh  |  IBM India Pvt Ltd  |  Accounts Payable</t>
  </si>
  <si>
    <t>Total Invoices</t>
  </si>
  <si>
    <t>Total Amount (₹)</t>
  </si>
  <si>
    <t>Paid Amount (₹)</t>
  </si>
  <si>
    <t>Pending Amount (₹)</t>
  </si>
  <si>
    <t>Overdue Amount (₹)</t>
  </si>
  <si>
    <t>PAYMENT STATUS BREAKDOWN</t>
  </si>
  <si>
    <t>TOP VENDOR WISE AMOUNT</t>
  </si>
  <si>
    <t>Status</t>
  </si>
  <si>
    <t>Invoice Count</t>
  </si>
  <si>
    <t>% of Total</t>
  </si>
  <si>
    <t>Vendor</t>
  </si>
  <si>
    <t>Paid (₹)</t>
  </si>
  <si>
    <t>Active</t>
  </si>
  <si>
    <t>TOTAL</t>
  </si>
  <si>
    <t>MONTH-WISE PAYMENT TREND — JAN to JUN 2026</t>
  </si>
  <si>
    <t>Pending (₹)</t>
  </si>
  <si>
    <t>Overdue (₹)</t>
  </si>
  <si>
    <t>Collection %</t>
  </si>
  <si>
    <t>INVOICE AGING ANALYSIS — OVERDUE &amp; PENDING</t>
  </si>
  <si>
    <t>Aging Bucket</t>
  </si>
  <si>
    <t>% of Outstanding</t>
  </si>
  <si>
    <t>Action Required</t>
  </si>
  <si>
    <t>Priority</t>
  </si>
  <si>
    <t>0–30 Days</t>
  </si>
  <si>
    <t>Normal — Monitor</t>
  </si>
  <si>
    <t>Low</t>
  </si>
  <si>
    <t>31–60 Days</t>
  </si>
  <si>
    <t>Follow Up Required</t>
  </si>
  <si>
    <t>Medium</t>
  </si>
  <si>
    <t>61–90 Days</t>
  </si>
  <si>
    <t>Escalate to Manager</t>
  </si>
  <si>
    <t>High</t>
  </si>
  <si>
    <t>90+ Days</t>
  </si>
  <si>
    <t>Immediate Action</t>
  </si>
  <si>
    <t>Critical</t>
  </si>
  <si>
    <t>VENDOR-WISE ACCOUNTS PAYABLE ANALYSIS</t>
  </si>
  <si>
    <t>Payment Rate</t>
  </si>
  <si>
    <t>GRAND TOTAL</t>
  </si>
  <si>
    <t>⚠️ EXCEPTION REPORT — ISSUES REQUIRING ATTENTION</t>
  </si>
  <si>
    <t>Issue Type</t>
  </si>
  <si>
    <t>Days Overdue</t>
  </si>
  <si>
    <t>Action</t>
  </si>
  <si>
    <t>Overdue &gt; 60 days</t>
  </si>
  <si>
    <t>Escalate immediately</t>
  </si>
  <si>
    <t>Missing PO Number</t>
  </si>
  <si>
    <t>Get PO from procurement</t>
  </si>
  <si>
    <t>Duplicate Invoice</t>
  </si>
  <si>
    <t>Hold — verify with vendor</t>
  </si>
  <si>
    <t>Overdue &gt; 90 days</t>
  </si>
  <si>
    <t>Legal notice required</t>
  </si>
  <si>
    <t>Amount mismatch</t>
  </si>
  <si>
    <t>Reconcile with PO</t>
  </si>
  <si>
    <t>Overdue &gt; 30 days</t>
  </si>
  <si>
    <t>Send payment reminder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</si>
</sst>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0.0%"/>
  </numFmts>
  <fonts count="2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color rgb="FF000000"/>
      <name val="Arial"/>
    </font>
    <font>
      <sz val="9"/>
      <color rgb="FF276221"/>
      <name val="Arial"/>
    </font>
    <font>
      <sz val="9"/>
      <color rgb="FF9C5700"/>
      <name val="Arial"/>
    </font>
    <font>
      <sz val="9"/>
      <color rgb="FF9C0006"/>
      <name val="Arial"/>
    </font>
    <font>
      <b/>
      <sz val="16"/>
      <color rgb="FFFFFFFF"/>
      <name val="Arial"/>
    </font>
    <font>
      <i/>
      <sz val="9"/>
      <color rgb="FF555555"/>
      <name val="Arial"/>
    </font>
    <font>
      <b/>
      <sz val="9"/>
      <color rgb="FF2E75B6"/>
      <name val="Arial"/>
    </font>
    <font>
      <b/>
      <sz val="16"/>
      <color rgb="FF2E75B6"/>
      <name val="Arial"/>
    </font>
    <font>
      <b/>
      <sz val="9"/>
      <color rgb="FF1F7A4D"/>
      <name val="Arial"/>
    </font>
    <font>
      <b/>
      <sz val="16"/>
      <color rgb="FF1F7A4D"/>
      <name val="Arial"/>
    </font>
    <font>
      <b/>
      <sz val="9"/>
      <color rgb="FF276221"/>
      <name val="Arial"/>
    </font>
    <font>
      <b/>
      <sz val="16"/>
      <color rgb="FF276221"/>
      <name val="Arial"/>
    </font>
    <font>
      <b/>
      <sz val="9"/>
      <color rgb="FF9C5700"/>
      <name val="Arial"/>
    </font>
    <font>
      <b/>
      <sz val="16"/>
      <color rgb="FF9C5700"/>
      <name val="Arial"/>
    </font>
    <font>
      <b/>
      <sz val="9"/>
      <color rgb="FF9C0006"/>
      <name val="Arial"/>
    </font>
    <font>
      <b/>
      <sz val="16"/>
      <color rgb="FF9C0006"/>
      <name val="Arial"/>
    </font>
    <font>
      <b/>
      <sz val="10"/>
      <color rgb="FF404040"/>
      <name val="Arial"/>
    </font>
    <font>
      <b/>
      <sz val="9"/>
      <color rgb="FF404040"/>
      <name val="Arial"/>
    </font>
    <font>
      <b/>
      <sz val="13"/>
      <color rgb="FFFFFFFF"/>
      <name val="Arial"/>
    </font>
    <font>
      <sz val="9"/>
      <color rgb="FFC55A11"/>
      <name val="Arial"/>
    </font>
    <font>
      <b/>
      <sz val="9"/>
      <color rgb="FFC55A11"/>
      <name val="Arial"/>
    </font>
    <font>
      <b/>
      <sz val="9"/>
      <color rgb="FF000000"/>
      <name val="Arial"/>
    </font>
  </fonts>
  <fills count="1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DEEFF"/>
      </patternFill>
    </fill>
    <fill>
      <patternFill patternType="solid">
        <fgColor rgb="FFE2EFDA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C55A11"/>
      </patternFill>
    </fill>
    <fill>
      <patternFill patternType="solid">
        <fgColor rgb="FFFCE4D6"/>
      </patternFill>
    </fill>
    <fill>
      <patternFill patternType="solid">
        <fgColor rgb="FF9C000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164" fontId="2" fillId="3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164" fontId="2" fillId="5" borderId="1" xfId="0" applyNumberFormat="1" applyFont="1" applyFill="1" applyBorder="1" applyAlignment="1">
      <alignment horizontal="right" vertical="center"/>
    </xf>
    <xf numFmtId="0" fontId="4" fillId="6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8" fillId="11" borderId="1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center" vertical="center"/>
    </xf>
    <xf numFmtId="165" fontId="4" fillId="6" borderId="1" xfId="0" applyNumberFormat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center" vertical="center"/>
    </xf>
    <xf numFmtId="165" fontId="5" fillId="7" borderId="1" xfId="0" applyNumberFormat="1" applyFont="1" applyFill="1" applyBorder="1" applyAlignment="1">
      <alignment horizontal="center" vertical="center"/>
    </xf>
    <xf numFmtId="0" fontId="19" fillId="11" borderId="1" xfId="0" applyFont="1" applyFill="1" applyBorder="1" applyAlignment="1">
      <alignment horizontal="left" vertical="center"/>
    </xf>
    <xf numFmtId="0" fontId="19" fillId="11" borderId="1" xfId="0" applyFont="1" applyFill="1" applyBorder="1" applyAlignment="1">
      <alignment horizontal="center" vertical="center"/>
    </xf>
    <xf numFmtId="164" fontId="19" fillId="11" borderId="1" xfId="0" applyNumberFormat="1" applyFont="1" applyFill="1" applyBorder="1" applyAlignment="1">
      <alignment horizontal="center" vertical="center"/>
    </xf>
    <xf numFmtId="165" fontId="19" fillId="11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  <xf numFmtId="165" fontId="2" fillId="3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164" fontId="2" fillId="5" borderId="1" xfId="0" applyNumberFormat="1" applyFont="1" applyFill="1" applyBorder="1" applyAlignment="1">
      <alignment horizontal="center" vertical="center"/>
    </xf>
    <xf numFmtId="165" fontId="2" fillId="5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164" fontId="3" fillId="9" borderId="1" xfId="0" applyNumberFormat="1" applyFont="1" applyFill="1" applyBorder="1" applyAlignment="1">
      <alignment horizontal="center" vertical="center"/>
    </xf>
    <xf numFmtId="165" fontId="3" fillId="9" borderId="1" xfId="0" applyNumberFormat="1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21" fillId="13" borderId="1" xfId="0" applyFont="1" applyFill="1" applyBorder="1" applyAlignment="1">
      <alignment horizontal="left" vertical="center"/>
    </xf>
    <xf numFmtId="0" fontId="21" fillId="13" borderId="1" xfId="0" applyFont="1" applyFill="1" applyBorder="1" applyAlignment="1">
      <alignment horizontal="center" vertical="center"/>
    </xf>
    <xf numFmtId="164" fontId="21" fillId="13" borderId="1" xfId="0" applyNumberFormat="1" applyFont="1" applyFill="1" applyBorder="1" applyAlignment="1">
      <alignment horizontal="center" vertical="center"/>
    </xf>
    <xf numFmtId="165" fontId="21" fillId="13" borderId="1" xfId="0" applyNumberFormat="1" applyFont="1" applyFill="1" applyBorder="1" applyAlignment="1">
      <alignment horizontal="center" vertical="center"/>
    </xf>
    <xf numFmtId="0" fontId="22" fillId="13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center" vertical="center"/>
    </xf>
    <xf numFmtId="164" fontId="1" fillId="12" borderId="1" xfId="0" applyNumberFormat="1" applyFont="1" applyFill="1" applyBorder="1" applyAlignment="1">
      <alignment horizontal="center" vertical="center"/>
    </xf>
    <xf numFmtId="165" fontId="1" fillId="12" borderId="1" xfId="0" applyNumberFormat="1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/>
    </xf>
    <xf numFmtId="164" fontId="2" fillId="7" borderId="1" xfId="0" applyNumberFormat="1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left" vertical="center"/>
    </xf>
    <xf numFmtId="0" fontId="23" fillId="7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164" fontId="2" fillId="6" borderId="1" xfId="0" applyNumberFormat="1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left" vertical="center"/>
    </xf>
    <xf numFmtId="0" fontId="23" fillId="6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left" vertical="center"/>
    </xf>
    <xf numFmtId="164" fontId="2" fillId="13" borderId="1" xfId="0" applyNumberFormat="1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left" vertical="center"/>
    </xf>
    <xf numFmtId="0" fontId="23" fillId="13" borderId="1" xfId="0" applyFont="1" applyFill="1" applyBorder="1" applyAlignment="1">
      <alignment horizontal="left" vertical="center"/>
    </xf>
    <xf numFmtId="0" fontId="20" fillId="14" borderId="0" xfId="0" applyFont="1" applyFill="1" applyAlignment="1">
      <alignment horizontal="center" vertical="center"/>
    </xf>
    <xf numFmtId="0" fontId="0" fillId="0" borderId="0" xfId="0"/>
    <xf numFmtId="0" fontId="7" fillId="0" borderId="0" xfId="0" applyFont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1" fillId="10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64" fontId="17" fillId="7" borderId="1" xfId="0" applyNumberFormat="1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14" fillId="6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164" fontId="11" fillId="9" borderId="1" xfId="0" applyNumberFormat="1" applyFont="1" applyFill="1" applyBorder="1" applyAlignment="1">
      <alignment horizontal="center" vertical="center"/>
    </xf>
    <xf numFmtId="164" fontId="15" fillId="6" borderId="1" xfId="0" applyNumberFormat="1" applyFont="1" applyFill="1" applyBorder="1" applyAlignment="1">
      <alignment horizontal="center" vertical="center"/>
    </xf>
    <xf numFmtId="164" fontId="13" fillId="4" borderId="1" xfId="0" applyNumberFormat="1" applyFont="1" applyFill="1" applyBorder="1" applyAlignment="1">
      <alignment horizontal="center" vertical="center"/>
    </xf>
    <xf numFmtId="0" fontId="20" fillId="2" borderId="0" xfId="0" applyFont="1" applyFill="1" applyAlignment="1">
      <alignment horizontal="center" vertical="center"/>
    </xf>
    <xf numFmtId="0" fontId="20" fillId="1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Month-wise Invoice Amount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'Monthly Trend'!$C$2</c:f>
              <c:strCache>
                <c:ptCount val="1"/>
                <c:pt idx="0">
                  <c:v>Total Amount (₹)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'Monthly Trend'!$A$3:$A$8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'Monthly Trend'!$C$3:$C$8</c:f>
              <c:numCache>
                <c:formatCode>\₹#,##0</c:formatCode>
                <c:ptCount val="6"/>
                <c:pt idx="0">
                  <c:v>1051832</c:v>
                </c:pt>
                <c:pt idx="1">
                  <c:v>589390</c:v>
                </c:pt>
                <c:pt idx="2">
                  <c:v>873034</c:v>
                </c:pt>
                <c:pt idx="3">
                  <c:v>1207378</c:v>
                </c:pt>
                <c:pt idx="4">
                  <c:v>1109610</c:v>
                </c:pt>
                <c:pt idx="5">
                  <c:v>1248376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B6-446A-A0F0-973832F9CC13}"/>
            </c:ext>
          </c:extLst>
        </c:ser>
        <c:ser>
          <c:idx val="1"/>
          <c:order val="1"/>
          <c:tx>
            <c:strRef>
              <c:f>'Monthly Trend'!$D$2</c:f>
              <c:strCache>
                <c:ptCount val="1"/>
                <c:pt idx="0">
                  <c:v>Paid (₹)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'Monthly Trend'!$A$3:$A$8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'Monthly Trend'!$D$3:$D$8</c:f>
              <c:numCache>
                <c:formatCode>\₹#,##0</c:formatCode>
                <c:ptCount val="6"/>
                <c:pt idx="0">
                  <c:v>608330</c:v>
                </c:pt>
                <c:pt idx="1">
                  <c:v>326906</c:v>
                </c:pt>
                <c:pt idx="2">
                  <c:v>402486</c:v>
                </c:pt>
                <c:pt idx="3">
                  <c:v>783686</c:v>
                </c:pt>
                <c:pt idx="4">
                  <c:v>624126</c:v>
                </c:pt>
                <c:pt idx="5">
                  <c:v>710850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6B6-446A-A0F0-973832F9CC13}"/>
            </c:ext>
          </c:extLst>
        </c:ser>
        <c:ser>
          <c:idx val="2"/>
          <c:order val="2"/>
          <c:tx>
            <c:strRef>
              <c:f>'Monthly Trend'!$E$2</c:f>
              <c:strCache>
                <c:ptCount val="1"/>
                <c:pt idx="0">
                  <c:v>Pending (₹)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'Monthly Trend'!$A$3:$A$8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'Monthly Trend'!$E$3:$E$8</c:f>
              <c:numCache>
                <c:formatCode>\₹#,##0</c:formatCode>
                <c:ptCount val="6"/>
                <c:pt idx="0">
                  <c:v>213894</c:v>
                </c:pt>
                <c:pt idx="1">
                  <c:v>177627</c:v>
                </c:pt>
                <c:pt idx="2">
                  <c:v>297306</c:v>
                </c:pt>
                <c:pt idx="3">
                  <c:v>162260</c:v>
                </c:pt>
                <c:pt idx="4">
                  <c:v>235225</c:v>
                </c:pt>
                <c:pt idx="5">
                  <c:v>383405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6B6-446A-A0F0-973832F9CC13}"/>
            </c:ext>
          </c:extLst>
        </c:ser>
        <c:ser>
          <c:idx val="3"/>
          <c:order val="3"/>
          <c:tx>
            <c:strRef>
              <c:f>'Monthly Trend'!$F$2</c:f>
              <c:strCache>
                <c:ptCount val="1"/>
                <c:pt idx="0">
                  <c:v>Overdue (₹)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'Monthly Trend'!$A$3:$A$8</c:f>
              <c:strCache>
                <c:ptCount val="6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  <c:pt idx="5">
                  <c:v>Jun-26</c:v>
                </c:pt>
              </c:strCache>
            </c:strRef>
          </c:cat>
          <c:val>
            <c:numRef>
              <c:f>'Monthly Trend'!$F$3:$F$8</c:f>
              <c:numCache>
                <c:formatCode>\₹#,##0</c:formatCode>
                <c:ptCount val="6"/>
                <c:pt idx="0">
                  <c:v>229608</c:v>
                </c:pt>
                <c:pt idx="1">
                  <c:v>84857</c:v>
                </c:pt>
                <c:pt idx="2">
                  <c:v>173242</c:v>
                </c:pt>
                <c:pt idx="3">
                  <c:v>261432</c:v>
                </c:pt>
                <c:pt idx="4">
                  <c:v>250259</c:v>
                </c:pt>
                <c:pt idx="5">
                  <c:v>154121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B6-446A-A0F0-973832F9CC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Month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Amount (₹)</a:t>
                </a:r>
              </a:p>
            </c:rich>
          </c:tx>
          <c:overlay val="1"/>
        </c:title>
        <c:numFmt formatCode="\₹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Aging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'Aging Analysis'!$C$2</c:f>
              <c:strCache>
                <c:ptCount val="1"/>
                <c:pt idx="0">
                  <c:v>Total Amount (₹)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'Aging Analysis'!$A$3:$A$6</c:f>
              <c:strCache>
                <c:ptCount val="4"/>
                <c:pt idx="0">
                  <c:v>0–30 Days</c:v>
                </c:pt>
                <c:pt idx="1">
                  <c:v>31–60 Days</c:v>
                </c:pt>
                <c:pt idx="2">
                  <c:v>61–90 Days</c:v>
                </c:pt>
                <c:pt idx="3">
                  <c:v>90+ Days</c:v>
                </c:pt>
              </c:strCache>
            </c:strRef>
          </c:cat>
          <c:val>
            <c:numRef>
              <c:f>'Aging Analysis'!$C$3:$C$6</c:f>
              <c:numCache>
                <c:formatCode>\₹#,##0</c:formatCode>
                <c:ptCount val="4"/>
                <c:pt idx="0">
                  <c:v>520000</c:v>
                </c:pt>
                <c:pt idx="1">
                  <c:v>310000</c:v>
                </c:pt>
                <c:pt idx="2">
                  <c:v>180000</c:v>
                </c:pt>
                <c:pt idx="3">
                  <c:v>95000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2-47CC-9E74-3E21539B9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10</xdr:row>
      <xdr:rowOff>0</xdr:rowOff>
    </xdr:from>
    <xdr:ext cx="648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0</xdr:rowOff>
    </xdr:from>
    <xdr:ext cx="576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0" customWidth="1"/>
    <col min="3" max="3" width="14" customWidth="1"/>
    <col min="4" max="5" width="12" customWidth="1"/>
    <col min="6" max="6" width="15" customWidth="1"/>
    <col min="7" max="7" width="13" customWidth="1"/>
    <col min="8" max="8" width="10" customWidth="1"/>
    <col min="9" max="9" width="12" customWidth="1"/>
    <col min="10" max="10" width="20" customWidth="1"/>
  </cols>
  <sheetData>
    <row r="1" spans="1:10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3">
        <v>16556</v>
      </c>
      <c r="G2" s="4" t="s">
        <v>15</v>
      </c>
      <c r="H2" s="2" t="s">
        <v>16</v>
      </c>
      <c r="I2" s="2" t="s">
        <v>17</v>
      </c>
      <c r="J2" s="2" t="s">
        <v>18</v>
      </c>
    </row>
    <row r="3" spans="1:10" x14ac:dyDescent="0.3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6">
        <v>74196</v>
      </c>
      <c r="G3" s="4" t="s">
        <v>15</v>
      </c>
      <c r="H3" s="5" t="s">
        <v>16</v>
      </c>
      <c r="I3" s="5" t="s">
        <v>24</v>
      </c>
      <c r="J3" s="5" t="s">
        <v>18</v>
      </c>
    </row>
    <row r="4" spans="1:10" x14ac:dyDescent="0.3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3">
        <v>36868</v>
      </c>
      <c r="G4" s="4" t="s">
        <v>15</v>
      </c>
      <c r="H4" s="2" t="s">
        <v>30</v>
      </c>
      <c r="I4" s="2" t="s">
        <v>31</v>
      </c>
      <c r="J4" s="2" t="s">
        <v>18</v>
      </c>
    </row>
    <row r="5" spans="1:10" x14ac:dyDescent="0.3">
      <c r="A5" s="5" t="s">
        <v>32</v>
      </c>
      <c r="B5" s="5" t="s">
        <v>33</v>
      </c>
      <c r="C5" s="5" t="s">
        <v>34</v>
      </c>
      <c r="D5" s="5" t="s">
        <v>35</v>
      </c>
      <c r="E5" s="5" t="s">
        <v>36</v>
      </c>
      <c r="F5" s="6">
        <v>152964</v>
      </c>
      <c r="G5" s="7" t="s">
        <v>37</v>
      </c>
      <c r="H5" s="5" t="s">
        <v>30</v>
      </c>
      <c r="I5" s="5" t="s">
        <v>38</v>
      </c>
      <c r="J5" s="5"/>
    </row>
    <row r="6" spans="1:10" x14ac:dyDescent="0.3">
      <c r="A6" s="2" t="s">
        <v>39</v>
      </c>
      <c r="B6" s="2" t="s">
        <v>40</v>
      </c>
      <c r="C6" s="2" t="s">
        <v>41</v>
      </c>
      <c r="D6" s="2" t="s">
        <v>42</v>
      </c>
      <c r="E6" s="2" t="s">
        <v>43</v>
      </c>
      <c r="F6" s="3">
        <v>120604</v>
      </c>
      <c r="G6" s="8" t="s">
        <v>44</v>
      </c>
      <c r="H6" s="2" t="s">
        <v>45</v>
      </c>
      <c r="I6" s="2" t="s">
        <v>46</v>
      </c>
      <c r="J6" s="2" t="s">
        <v>47</v>
      </c>
    </row>
    <row r="7" spans="1:10" x14ac:dyDescent="0.3">
      <c r="A7" s="5" t="s">
        <v>48</v>
      </c>
      <c r="B7" s="5" t="s">
        <v>49</v>
      </c>
      <c r="C7" s="5" t="s">
        <v>12</v>
      </c>
      <c r="D7" s="5" t="s">
        <v>50</v>
      </c>
      <c r="E7" s="5" t="s">
        <v>51</v>
      </c>
      <c r="F7" s="6">
        <v>34561</v>
      </c>
      <c r="G7" s="4" t="s">
        <v>15</v>
      </c>
      <c r="H7" s="5" t="s">
        <v>45</v>
      </c>
      <c r="I7" s="5" t="s">
        <v>52</v>
      </c>
      <c r="J7" s="5" t="s">
        <v>18</v>
      </c>
    </row>
    <row r="8" spans="1:10" x14ac:dyDescent="0.3">
      <c r="A8" s="2" t="s">
        <v>53</v>
      </c>
      <c r="B8" s="2" t="s">
        <v>54</v>
      </c>
      <c r="C8" s="2" t="s">
        <v>21</v>
      </c>
      <c r="D8" s="2" t="s">
        <v>55</v>
      </c>
      <c r="E8" s="2" t="s">
        <v>56</v>
      </c>
      <c r="F8" s="3">
        <v>142475</v>
      </c>
      <c r="G8" s="4" t="s">
        <v>15</v>
      </c>
      <c r="H8" s="2" t="s">
        <v>57</v>
      </c>
      <c r="I8" s="2" t="s">
        <v>58</v>
      </c>
      <c r="J8" s="2" t="s">
        <v>18</v>
      </c>
    </row>
    <row r="9" spans="1:10" x14ac:dyDescent="0.3">
      <c r="A9" s="5" t="s">
        <v>59</v>
      </c>
      <c r="B9" s="5" t="s">
        <v>60</v>
      </c>
      <c r="C9" s="5" t="s">
        <v>27</v>
      </c>
      <c r="D9" s="5" t="s">
        <v>61</v>
      </c>
      <c r="E9" s="5" t="s">
        <v>62</v>
      </c>
      <c r="F9" s="6">
        <v>157127</v>
      </c>
      <c r="G9" s="4" t="s">
        <v>15</v>
      </c>
      <c r="H9" s="5" t="s">
        <v>57</v>
      </c>
      <c r="I9" s="5" t="s">
        <v>63</v>
      </c>
      <c r="J9" s="5" t="s">
        <v>18</v>
      </c>
    </row>
    <row r="10" spans="1:10" x14ac:dyDescent="0.3">
      <c r="A10" s="2" t="s">
        <v>64</v>
      </c>
      <c r="B10" s="2" t="s">
        <v>65</v>
      </c>
      <c r="C10" s="2" t="s">
        <v>34</v>
      </c>
      <c r="D10" s="2" t="s">
        <v>66</v>
      </c>
      <c r="E10" s="2" t="s">
        <v>67</v>
      </c>
      <c r="F10" s="3">
        <v>180363</v>
      </c>
      <c r="G10" s="7" t="s">
        <v>37</v>
      </c>
      <c r="H10" s="2" t="s">
        <v>68</v>
      </c>
      <c r="I10" s="2" t="s">
        <v>69</v>
      </c>
      <c r="J10" s="2"/>
    </row>
    <row r="11" spans="1:10" x14ac:dyDescent="0.3">
      <c r="A11" s="5" t="s">
        <v>70</v>
      </c>
      <c r="B11" s="5" t="s">
        <v>71</v>
      </c>
      <c r="C11" s="5" t="s">
        <v>41</v>
      </c>
      <c r="D11" s="5" t="s">
        <v>72</v>
      </c>
      <c r="E11" s="5" t="s">
        <v>73</v>
      </c>
      <c r="F11" s="6">
        <v>119974</v>
      </c>
      <c r="G11" s="8" t="s">
        <v>44</v>
      </c>
      <c r="H11" s="5" t="s">
        <v>68</v>
      </c>
      <c r="I11" s="5" t="s">
        <v>74</v>
      </c>
      <c r="J11" s="5" t="s">
        <v>47</v>
      </c>
    </row>
    <row r="12" spans="1:10" x14ac:dyDescent="0.3">
      <c r="A12" s="2" t="s">
        <v>75</v>
      </c>
      <c r="B12" s="2" t="s">
        <v>11</v>
      </c>
      <c r="C12" s="2" t="s">
        <v>12</v>
      </c>
      <c r="D12" s="2" t="s">
        <v>76</v>
      </c>
      <c r="E12" s="2" t="s">
        <v>77</v>
      </c>
      <c r="F12" s="3">
        <v>164472</v>
      </c>
      <c r="G12" s="4" t="s">
        <v>15</v>
      </c>
      <c r="H12" s="2" t="s">
        <v>78</v>
      </c>
      <c r="I12" s="2" t="s">
        <v>79</v>
      </c>
      <c r="J12" s="2" t="s">
        <v>18</v>
      </c>
    </row>
    <row r="13" spans="1:10" x14ac:dyDescent="0.3">
      <c r="A13" s="5" t="s">
        <v>80</v>
      </c>
      <c r="B13" s="5" t="s">
        <v>20</v>
      </c>
      <c r="C13" s="5" t="s">
        <v>21</v>
      </c>
      <c r="D13" s="5" t="s">
        <v>81</v>
      </c>
      <c r="E13" s="5" t="s">
        <v>82</v>
      </c>
      <c r="F13" s="6">
        <v>11703</v>
      </c>
      <c r="G13" s="4" t="s">
        <v>15</v>
      </c>
      <c r="H13" s="5" t="s">
        <v>78</v>
      </c>
      <c r="I13" s="5" t="s">
        <v>83</v>
      </c>
      <c r="J13" s="5" t="s">
        <v>18</v>
      </c>
    </row>
    <row r="14" spans="1:10" x14ac:dyDescent="0.3">
      <c r="A14" s="2" t="s">
        <v>84</v>
      </c>
      <c r="B14" s="2" t="s">
        <v>26</v>
      </c>
      <c r="C14" s="2" t="s">
        <v>27</v>
      </c>
      <c r="D14" s="2" t="s">
        <v>85</v>
      </c>
      <c r="E14" s="2" t="s">
        <v>86</v>
      </c>
      <c r="F14" s="3">
        <v>51853</v>
      </c>
      <c r="G14" s="4" t="s">
        <v>15</v>
      </c>
      <c r="H14" s="2" t="s">
        <v>16</v>
      </c>
      <c r="I14" s="2" t="s">
        <v>87</v>
      </c>
      <c r="J14" s="2" t="s">
        <v>18</v>
      </c>
    </row>
    <row r="15" spans="1:10" x14ac:dyDescent="0.3">
      <c r="A15" s="5" t="s">
        <v>88</v>
      </c>
      <c r="B15" s="5" t="s">
        <v>33</v>
      </c>
      <c r="C15" s="5" t="s">
        <v>34</v>
      </c>
      <c r="D15" s="5" t="s">
        <v>89</v>
      </c>
      <c r="E15" s="5" t="s">
        <v>90</v>
      </c>
      <c r="F15" s="6">
        <v>99194</v>
      </c>
      <c r="G15" s="7" t="s">
        <v>37</v>
      </c>
      <c r="H15" s="5" t="s">
        <v>16</v>
      </c>
      <c r="I15" s="5" t="s">
        <v>91</v>
      </c>
      <c r="J15" s="5"/>
    </row>
    <row r="16" spans="1:10" x14ac:dyDescent="0.3">
      <c r="A16" s="2" t="s">
        <v>92</v>
      </c>
      <c r="B16" s="2" t="s">
        <v>40</v>
      </c>
      <c r="C16" s="2" t="s">
        <v>41</v>
      </c>
      <c r="D16" s="2" t="s">
        <v>23</v>
      </c>
      <c r="E16" s="2" t="s">
        <v>29</v>
      </c>
      <c r="F16" s="3">
        <v>66443</v>
      </c>
      <c r="G16" s="8" t="s">
        <v>44</v>
      </c>
      <c r="H16" s="2" t="s">
        <v>30</v>
      </c>
      <c r="I16" s="2" t="s">
        <v>93</v>
      </c>
      <c r="J16" s="2" t="s">
        <v>47</v>
      </c>
    </row>
    <row r="17" spans="1:10" x14ac:dyDescent="0.3">
      <c r="A17" s="5" t="s">
        <v>94</v>
      </c>
      <c r="B17" s="5" t="s">
        <v>49</v>
      </c>
      <c r="C17" s="5" t="s">
        <v>12</v>
      </c>
      <c r="D17" s="5" t="s">
        <v>95</v>
      </c>
      <c r="E17" s="5" t="s">
        <v>96</v>
      </c>
      <c r="F17" s="6">
        <v>36793</v>
      </c>
      <c r="G17" s="4" t="s">
        <v>15</v>
      </c>
      <c r="H17" s="5" t="s">
        <v>30</v>
      </c>
      <c r="I17" s="5" t="s">
        <v>97</v>
      </c>
      <c r="J17" s="5" t="s">
        <v>18</v>
      </c>
    </row>
    <row r="18" spans="1:10" x14ac:dyDescent="0.3">
      <c r="A18" s="2" t="s">
        <v>98</v>
      </c>
      <c r="B18" s="2" t="s">
        <v>54</v>
      </c>
      <c r="C18" s="2" t="s">
        <v>21</v>
      </c>
      <c r="D18" s="2" t="s">
        <v>42</v>
      </c>
      <c r="E18" s="2" t="s">
        <v>99</v>
      </c>
      <c r="F18" s="3">
        <v>35353</v>
      </c>
      <c r="G18" s="4" t="s">
        <v>15</v>
      </c>
      <c r="H18" s="2" t="s">
        <v>45</v>
      </c>
      <c r="I18" s="2" t="s">
        <v>100</v>
      </c>
      <c r="J18" s="2" t="s">
        <v>18</v>
      </c>
    </row>
    <row r="19" spans="1:10" x14ac:dyDescent="0.3">
      <c r="A19" s="5" t="s">
        <v>101</v>
      </c>
      <c r="B19" s="5" t="s">
        <v>60</v>
      </c>
      <c r="C19" s="5" t="s">
        <v>27</v>
      </c>
      <c r="D19" s="5" t="s">
        <v>102</v>
      </c>
      <c r="E19" s="5" t="s">
        <v>103</v>
      </c>
      <c r="F19" s="6">
        <v>100165</v>
      </c>
      <c r="G19" s="4" t="s">
        <v>15</v>
      </c>
      <c r="H19" s="5" t="s">
        <v>45</v>
      </c>
      <c r="I19" s="5" t="s">
        <v>104</v>
      </c>
      <c r="J19" s="5" t="s">
        <v>18</v>
      </c>
    </row>
    <row r="20" spans="1:10" x14ac:dyDescent="0.3">
      <c r="A20" s="2" t="s">
        <v>105</v>
      </c>
      <c r="B20" s="2" t="s">
        <v>65</v>
      </c>
      <c r="C20" s="2" t="s">
        <v>34</v>
      </c>
      <c r="D20" s="2" t="s">
        <v>61</v>
      </c>
      <c r="E20" s="2" t="s">
        <v>106</v>
      </c>
      <c r="F20" s="3">
        <v>21390</v>
      </c>
      <c r="G20" s="7" t="s">
        <v>37</v>
      </c>
      <c r="H20" s="2" t="s">
        <v>57</v>
      </c>
      <c r="I20" s="2" t="s">
        <v>107</v>
      </c>
      <c r="J20" s="2"/>
    </row>
    <row r="21" spans="1:10" x14ac:dyDescent="0.3">
      <c r="A21" s="5" t="s">
        <v>108</v>
      </c>
      <c r="B21" s="5" t="s">
        <v>71</v>
      </c>
      <c r="C21" s="5" t="s">
        <v>41</v>
      </c>
      <c r="D21" s="5" t="s">
        <v>109</v>
      </c>
      <c r="E21" s="5" t="s">
        <v>110</v>
      </c>
      <c r="F21" s="6">
        <v>150568</v>
      </c>
      <c r="G21" s="8" t="s">
        <v>44</v>
      </c>
      <c r="H21" s="5" t="s">
        <v>57</v>
      </c>
      <c r="I21" s="5" t="s">
        <v>111</v>
      </c>
      <c r="J21" s="5" t="s">
        <v>47</v>
      </c>
    </row>
    <row r="22" spans="1:10" x14ac:dyDescent="0.3">
      <c r="A22" s="2" t="s">
        <v>112</v>
      </c>
      <c r="B22" s="2" t="s">
        <v>11</v>
      </c>
      <c r="C22" s="2" t="s">
        <v>12</v>
      </c>
      <c r="D22" s="2" t="s">
        <v>113</v>
      </c>
      <c r="E22" s="2" t="s">
        <v>114</v>
      </c>
      <c r="F22" s="3">
        <v>30656</v>
      </c>
      <c r="G22" s="4" t="s">
        <v>15</v>
      </c>
      <c r="H22" s="2" t="s">
        <v>68</v>
      </c>
      <c r="I22" s="2" t="s">
        <v>115</v>
      </c>
      <c r="J22" s="2" t="s">
        <v>18</v>
      </c>
    </row>
    <row r="23" spans="1:10" x14ac:dyDescent="0.3">
      <c r="A23" s="5" t="s">
        <v>116</v>
      </c>
      <c r="B23" s="5" t="s">
        <v>20</v>
      </c>
      <c r="C23" s="5" t="s">
        <v>21</v>
      </c>
      <c r="D23" s="5" t="s">
        <v>117</v>
      </c>
      <c r="E23" s="5" t="s">
        <v>118</v>
      </c>
      <c r="F23" s="6">
        <v>174794</v>
      </c>
      <c r="G23" s="4" t="s">
        <v>15</v>
      </c>
      <c r="H23" s="5" t="s">
        <v>68</v>
      </c>
      <c r="I23" s="5" t="s">
        <v>119</v>
      </c>
      <c r="J23" s="5" t="s">
        <v>18</v>
      </c>
    </row>
    <row r="24" spans="1:10" x14ac:dyDescent="0.3">
      <c r="A24" s="2" t="s">
        <v>120</v>
      </c>
      <c r="B24" s="2" t="s">
        <v>26</v>
      </c>
      <c r="C24" s="2" t="s">
        <v>27</v>
      </c>
      <c r="D24" s="2" t="s">
        <v>121</v>
      </c>
      <c r="E24" s="2" t="s">
        <v>122</v>
      </c>
      <c r="F24" s="3">
        <v>104800</v>
      </c>
      <c r="G24" s="4" t="s">
        <v>15</v>
      </c>
      <c r="H24" s="2" t="s">
        <v>78</v>
      </c>
      <c r="I24" s="2" t="s">
        <v>123</v>
      </c>
      <c r="J24" s="2" t="s">
        <v>18</v>
      </c>
    </row>
    <row r="25" spans="1:10" x14ac:dyDescent="0.3">
      <c r="A25" s="5" t="s">
        <v>124</v>
      </c>
      <c r="B25" s="5" t="s">
        <v>33</v>
      </c>
      <c r="C25" s="5" t="s">
        <v>34</v>
      </c>
      <c r="D25" s="5" t="s">
        <v>125</v>
      </c>
      <c r="E25" s="5" t="s">
        <v>126</v>
      </c>
      <c r="F25" s="6">
        <v>194699</v>
      </c>
      <c r="G25" s="7" t="s">
        <v>37</v>
      </c>
      <c r="H25" s="5" t="s">
        <v>78</v>
      </c>
      <c r="I25" s="5" t="s">
        <v>127</v>
      </c>
      <c r="J25" s="5"/>
    </row>
    <row r="26" spans="1:10" x14ac:dyDescent="0.3">
      <c r="A26" s="2" t="s">
        <v>128</v>
      </c>
      <c r="B26" s="2" t="s">
        <v>40</v>
      </c>
      <c r="C26" s="2" t="s">
        <v>41</v>
      </c>
      <c r="D26" s="2" t="s">
        <v>129</v>
      </c>
      <c r="E26" s="2" t="s">
        <v>130</v>
      </c>
      <c r="F26" s="3">
        <v>183346</v>
      </c>
      <c r="G26" s="8" t="s">
        <v>44</v>
      </c>
      <c r="H26" s="2" t="s">
        <v>16</v>
      </c>
      <c r="I26" s="2" t="s">
        <v>131</v>
      </c>
      <c r="J26" s="2" t="s">
        <v>47</v>
      </c>
    </row>
    <row r="27" spans="1:10" x14ac:dyDescent="0.3">
      <c r="A27" s="5" t="s">
        <v>132</v>
      </c>
      <c r="B27" s="5" t="s">
        <v>49</v>
      </c>
      <c r="C27" s="5" t="s">
        <v>12</v>
      </c>
      <c r="D27" s="5" t="s">
        <v>133</v>
      </c>
      <c r="E27" s="5" t="s">
        <v>95</v>
      </c>
      <c r="F27" s="6">
        <v>85861</v>
      </c>
      <c r="G27" s="4" t="s">
        <v>15</v>
      </c>
      <c r="H27" s="5" t="s">
        <v>16</v>
      </c>
      <c r="I27" s="5" t="s">
        <v>134</v>
      </c>
      <c r="J27" s="5" t="s">
        <v>18</v>
      </c>
    </row>
    <row r="28" spans="1:10" x14ac:dyDescent="0.3">
      <c r="A28" s="2" t="s">
        <v>135</v>
      </c>
      <c r="B28" s="2" t="s">
        <v>54</v>
      </c>
      <c r="C28" s="2" t="s">
        <v>21</v>
      </c>
      <c r="D28" s="2" t="s">
        <v>136</v>
      </c>
      <c r="E28" s="2" t="s">
        <v>137</v>
      </c>
      <c r="F28" s="3">
        <v>71024</v>
      </c>
      <c r="G28" s="4" t="s">
        <v>15</v>
      </c>
      <c r="H28" s="2" t="s">
        <v>30</v>
      </c>
      <c r="I28" s="2" t="s">
        <v>138</v>
      </c>
      <c r="J28" s="2" t="s">
        <v>18</v>
      </c>
    </row>
    <row r="29" spans="1:10" x14ac:dyDescent="0.3">
      <c r="A29" s="5" t="s">
        <v>139</v>
      </c>
      <c r="B29" s="5" t="s">
        <v>60</v>
      </c>
      <c r="C29" s="5" t="s">
        <v>27</v>
      </c>
      <c r="D29" s="5" t="s">
        <v>140</v>
      </c>
      <c r="E29" s="5" t="s">
        <v>141</v>
      </c>
      <c r="F29" s="6">
        <v>109647</v>
      </c>
      <c r="G29" s="4" t="s">
        <v>15</v>
      </c>
      <c r="H29" s="5" t="s">
        <v>30</v>
      </c>
      <c r="I29" s="5" t="s">
        <v>142</v>
      </c>
      <c r="J29" s="5" t="s">
        <v>18</v>
      </c>
    </row>
    <row r="30" spans="1:10" x14ac:dyDescent="0.3">
      <c r="A30" s="2" t="s">
        <v>143</v>
      </c>
      <c r="B30" s="2" t="s">
        <v>65</v>
      </c>
      <c r="C30" s="2" t="s">
        <v>34</v>
      </c>
      <c r="D30" s="2" t="s">
        <v>144</v>
      </c>
      <c r="E30" s="2" t="s">
        <v>145</v>
      </c>
      <c r="F30" s="3">
        <v>176640</v>
      </c>
      <c r="G30" s="7" t="s">
        <v>37</v>
      </c>
      <c r="H30" s="2" t="s">
        <v>45</v>
      </c>
      <c r="I30" s="2" t="s">
        <v>146</v>
      </c>
      <c r="J30" s="2"/>
    </row>
    <row r="31" spans="1:10" x14ac:dyDescent="0.3">
      <c r="A31" s="5" t="s">
        <v>147</v>
      </c>
      <c r="B31" s="5" t="s">
        <v>71</v>
      </c>
      <c r="C31" s="5" t="s">
        <v>41</v>
      </c>
      <c r="D31" s="5" t="s">
        <v>148</v>
      </c>
      <c r="E31" s="5" t="s">
        <v>149</v>
      </c>
      <c r="F31" s="6">
        <v>52638</v>
      </c>
      <c r="G31" s="8" t="s">
        <v>44</v>
      </c>
      <c r="H31" s="5" t="s">
        <v>45</v>
      </c>
      <c r="I31" s="5" t="s">
        <v>150</v>
      </c>
      <c r="J31" s="5" t="s">
        <v>47</v>
      </c>
    </row>
    <row r="32" spans="1:10" x14ac:dyDescent="0.3">
      <c r="A32" s="2" t="s">
        <v>151</v>
      </c>
      <c r="B32" s="2" t="s">
        <v>11</v>
      </c>
      <c r="C32" s="2" t="s">
        <v>12</v>
      </c>
      <c r="D32" s="2" t="s">
        <v>149</v>
      </c>
      <c r="E32" s="2" t="s">
        <v>152</v>
      </c>
      <c r="F32" s="3">
        <v>64921</v>
      </c>
      <c r="G32" s="4" t="s">
        <v>15</v>
      </c>
      <c r="H32" s="2" t="s">
        <v>57</v>
      </c>
      <c r="I32" s="2" t="s">
        <v>153</v>
      </c>
      <c r="J32" s="2" t="s">
        <v>18</v>
      </c>
    </row>
    <row r="33" spans="1:10" x14ac:dyDescent="0.3">
      <c r="A33" s="5" t="s">
        <v>154</v>
      </c>
      <c r="B33" s="5" t="s">
        <v>20</v>
      </c>
      <c r="C33" s="5" t="s">
        <v>21</v>
      </c>
      <c r="D33" s="5" t="s">
        <v>155</v>
      </c>
      <c r="E33" s="5" t="s">
        <v>106</v>
      </c>
      <c r="F33" s="6">
        <v>193977</v>
      </c>
      <c r="G33" s="4" t="s">
        <v>15</v>
      </c>
      <c r="H33" s="5" t="s">
        <v>57</v>
      </c>
      <c r="I33" s="5" t="s">
        <v>156</v>
      </c>
      <c r="J33" s="5" t="s">
        <v>18</v>
      </c>
    </row>
    <row r="34" spans="1:10" x14ac:dyDescent="0.3">
      <c r="A34" s="2" t="s">
        <v>157</v>
      </c>
      <c r="B34" s="2" t="s">
        <v>26</v>
      </c>
      <c r="C34" s="2" t="s">
        <v>27</v>
      </c>
      <c r="D34" s="2" t="s">
        <v>158</v>
      </c>
      <c r="E34" s="2" t="s">
        <v>159</v>
      </c>
      <c r="F34" s="3">
        <v>28717</v>
      </c>
      <c r="G34" s="4" t="s">
        <v>15</v>
      </c>
      <c r="H34" s="2" t="s">
        <v>68</v>
      </c>
      <c r="I34" s="2" t="s">
        <v>160</v>
      </c>
      <c r="J34" s="2" t="s">
        <v>18</v>
      </c>
    </row>
    <row r="35" spans="1:10" x14ac:dyDescent="0.3">
      <c r="A35" s="5" t="s">
        <v>161</v>
      </c>
      <c r="B35" s="5" t="s">
        <v>33</v>
      </c>
      <c r="C35" s="5" t="s">
        <v>34</v>
      </c>
      <c r="D35" s="5" t="s">
        <v>162</v>
      </c>
      <c r="E35" s="5" t="s">
        <v>159</v>
      </c>
      <c r="F35" s="6">
        <v>54862</v>
      </c>
      <c r="G35" s="7" t="s">
        <v>37</v>
      </c>
      <c r="H35" s="5" t="s">
        <v>68</v>
      </c>
      <c r="I35" s="5" t="s">
        <v>163</v>
      </c>
      <c r="J35" s="5"/>
    </row>
    <row r="36" spans="1:10" x14ac:dyDescent="0.3">
      <c r="A36" s="2" t="s">
        <v>164</v>
      </c>
      <c r="B36" s="2" t="s">
        <v>40</v>
      </c>
      <c r="C36" s="2" t="s">
        <v>41</v>
      </c>
      <c r="D36" s="2" t="s">
        <v>73</v>
      </c>
      <c r="E36" s="2" t="s">
        <v>165</v>
      </c>
      <c r="F36" s="3">
        <v>74175</v>
      </c>
      <c r="G36" s="8" t="s">
        <v>44</v>
      </c>
      <c r="H36" s="2" t="s">
        <v>78</v>
      </c>
      <c r="I36" s="2" t="s">
        <v>166</v>
      </c>
      <c r="J36" s="2" t="s">
        <v>47</v>
      </c>
    </row>
    <row r="37" spans="1:10" x14ac:dyDescent="0.3">
      <c r="A37" s="5" t="s">
        <v>167</v>
      </c>
      <c r="B37" s="5" t="s">
        <v>49</v>
      </c>
      <c r="C37" s="5" t="s">
        <v>12</v>
      </c>
      <c r="D37" s="5" t="s">
        <v>168</v>
      </c>
      <c r="E37" s="5" t="s">
        <v>77</v>
      </c>
      <c r="F37" s="6">
        <v>109471</v>
      </c>
      <c r="G37" s="4" t="s">
        <v>15</v>
      </c>
      <c r="H37" s="5" t="s">
        <v>78</v>
      </c>
      <c r="I37" s="5" t="s">
        <v>169</v>
      </c>
      <c r="J37" s="5" t="s">
        <v>18</v>
      </c>
    </row>
    <row r="38" spans="1:10" x14ac:dyDescent="0.3">
      <c r="A38" s="2" t="s">
        <v>170</v>
      </c>
      <c r="B38" s="2" t="s">
        <v>54</v>
      </c>
      <c r="C38" s="2" t="s">
        <v>21</v>
      </c>
      <c r="D38" s="2" t="s">
        <v>171</v>
      </c>
      <c r="E38" s="2" t="s">
        <v>172</v>
      </c>
      <c r="F38" s="3">
        <v>190397</v>
      </c>
      <c r="G38" s="4" t="s">
        <v>15</v>
      </c>
      <c r="H38" s="2" t="s">
        <v>16</v>
      </c>
      <c r="I38" s="2" t="s">
        <v>173</v>
      </c>
      <c r="J38" s="2" t="s">
        <v>18</v>
      </c>
    </row>
    <row r="39" spans="1:10" x14ac:dyDescent="0.3">
      <c r="A39" s="5" t="s">
        <v>174</v>
      </c>
      <c r="B39" s="5" t="s">
        <v>60</v>
      </c>
      <c r="C39" s="5" t="s">
        <v>27</v>
      </c>
      <c r="D39" s="5" t="s">
        <v>175</v>
      </c>
      <c r="E39" s="5" t="s">
        <v>28</v>
      </c>
      <c r="F39" s="6">
        <v>189467</v>
      </c>
      <c r="G39" s="4" t="s">
        <v>15</v>
      </c>
      <c r="H39" s="5" t="s">
        <v>16</v>
      </c>
      <c r="I39" s="5" t="s">
        <v>176</v>
      </c>
      <c r="J39" s="5" t="s">
        <v>18</v>
      </c>
    </row>
    <row r="40" spans="1:10" x14ac:dyDescent="0.3">
      <c r="A40" s="2" t="s">
        <v>177</v>
      </c>
      <c r="B40" s="2" t="s">
        <v>65</v>
      </c>
      <c r="C40" s="2" t="s">
        <v>34</v>
      </c>
      <c r="D40" s="2" t="s">
        <v>178</v>
      </c>
      <c r="E40" s="2" t="s">
        <v>148</v>
      </c>
      <c r="F40" s="3">
        <v>24663</v>
      </c>
      <c r="G40" s="7" t="s">
        <v>37</v>
      </c>
      <c r="H40" s="2" t="s">
        <v>30</v>
      </c>
      <c r="I40" s="2" t="s">
        <v>179</v>
      </c>
      <c r="J40" s="2"/>
    </row>
    <row r="41" spans="1:10" x14ac:dyDescent="0.3">
      <c r="A41" s="5" t="s">
        <v>180</v>
      </c>
      <c r="B41" s="5" t="s">
        <v>71</v>
      </c>
      <c r="C41" s="5" t="s">
        <v>41</v>
      </c>
      <c r="D41" s="5" t="s">
        <v>28</v>
      </c>
      <c r="E41" s="5" t="s">
        <v>148</v>
      </c>
      <c r="F41" s="6">
        <v>18414</v>
      </c>
      <c r="G41" s="8" t="s">
        <v>44</v>
      </c>
      <c r="H41" s="5" t="s">
        <v>30</v>
      </c>
      <c r="I41" s="5" t="s">
        <v>181</v>
      </c>
      <c r="J41" s="5" t="s">
        <v>47</v>
      </c>
    </row>
    <row r="42" spans="1:10" x14ac:dyDescent="0.3">
      <c r="A42" s="2" t="s">
        <v>182</v>
      </c>
      <c r="B42" s="2" t="s">
        <v>11</v>
      </c>
      <c r="C42" s="2" t="s">
        <v>12</v>
      </c>
      <c r="D42" s="2" t="s">
        <v>183</v>
      </c>
      <c r="E42" s="2" t="s">
        <v>184</v>
      </c>
      <c r="F42" s="3">
        <v>115162</v>
      </c>
      <c r="G42" s="4" t="s">
        <v>15</v>
      </c>
      <c r="H42" s="2" t="s">
        <v>45</v>
      </c>
      <c r="I42" s="2" t="s">
        <v>185</v>
      </c>
      <c r="J42" s="2" t="s">
        <v>18</v>
      </c>
    </row>
    <row r="43" spans="1:10" x14ac:dyDescent="0.3">
      <c r="A43" s="5" t="s">
        <v>186</v>
      </c>
      <c r="B43" s="5" t="s">
        <v>20</v>
      </c>
      <c r="C43" s="5" t="s">
        <v>21</v>
      </c>
      <c r="D43" s="5" t="s">
        <v>144</v>
      </c>
      <c r="E43" s="5" t="s">
        <v>187</v>
      </c>
      <c r="F43" s="6">
        <v>65307</v>
      </c>
      <c r="G43" s="4" t="s">
        <v>15</v>
      </c>
      <c r="H43" s="5" t="s">
        <v>45</v>
      </c>
      <c r="I43" s="5" t="s">
        <v>188</v>
      </c>
      <c r="J43" s="5" t="s">
        <v>18</v>
      </c>
    </row>
    <row r="44" spans="1:10" x14ac:dyDescent="0.3">
      <c r="A44" s="2" t="s">
        <v>189</v>
      </c>
      <c r="B44" s="2" t="s">
        <v>26</v>
      </c>
      <c r="C44" s="2" t="s">
        <v>27</v>
      </c>
      <c r="D44" s="2" t="s">
        <v>43</v>
      </c>
      <c r="E44" s="2" t="s">
        <v>72</v>
      </c>
      <c r="F44" s="3">
        <v>92490</v>
      </c>
      <c r="G44" s="4" t="s">
        <v>15</v>
      </c>
      <c r="H44" s="2" t="s">
        <v>57</v>
      </c>
      <c r="I44" s="2" t="s">
        <v>190</v>
      </c>
      <c r="J44" s="2" t="s">
        <v>18</v>
      </c>
    </row>
    <row r="45" spans="1:10" x14ac:dyDescent="0.3">
      <c r="A45" s="5" t="s">
        <v>191</v>
      </c>
      <c r="B45" s="5" t="s">
        <v>33</v>
      </c>
      <c r="C45" s="5" t="s">
        <v>34</v>
      </c>
      <c r="D45" s="5" t="s">
        <v>55</v>
      </c>
      <c r="E45" s="5" t="s">
        <v>192</v>
      </c>
      <c r="F45" s="6">
        <v>140870</v>
      </c>
      <c r="G45" s="7" t="s">
        <v>37</v>
      </c>
      <c r="H45" s="5" t="s">
        <v>57</v>
      </c>
      <c r="I45" s="5" t="s">
        <v>193</v>
      </c>
      <c r="J45" s="5"/>
    </row>
    <row r="46" spans="1:10" x14ac:dyDescent="0.3">
      <c r="A46" s="2" t="s">
        <v>194</v>
      </c>
      <c r="B46" s="2" t="s">
        <v>40</v>
      </c>
      <c r="C46" s="2" t="s">
        <v>41</v>
      </c>
      <c r="D46" s="2" t="s">
        <v>195</v>
      </c>
      <c r="E46" s="2" t="s">
        <v>159</v>
      </c>
      <c r="F46" s="3">
        <v>130285</v>
      </c>
      <c r="G46" s="8" t="s">
        <v>44</v>
      </c>
      <c r="H46" s="2" t="s">
        <v>68</v>
      </c>
      <c r="I46" s="2" t="s">
        <v>196</v>
      </c>
      <c r="J46" s="2" t="s">
        <v>47</v>
      </c>
    </row>
    <row r="47" spans="1:10" x14ac:dyDescent="0.3">
      <c r="A47" s="5" t="s">
        <v>197</v>
      </c>
      <c r="B47" s="5" t="s">
        <v>49</v>
      </c>
      <c r="C47" s="5" t="s">
        <v>12</v>
      </c>
      <c r="D47" s="5" t="s">
        <v>198</v>
      </c>
      <c r="E47" s="5" t="s">
        <v>81</v>
      </c>
      <c r="F47" s="6">
        <v>46603</v>
      </c>
      <c r="G47" s="4" t="s">
        <v>15</v>
      </c>
      <c r="H47" s="5" t="s">
        <v>68</v>
      </c>
      <c r="I47" s="5" t="s">
        <v>199</v>
      </c>
      <c r="J47" s="5" t="s">
        <v>18</v>
      </c>
    </row>
    <row r="48" spans="1:10" x14ac:dyDescent="0.3">
      <c r="A48" s="2" t="s">
        <v>200</v>
      </c>
      <c r="B48" s="2" t="s">
        <v>54</v>
      </c>
      <c r="C48" s="2" t="s">
        <v>21</v>
      </c>
      <c r="D48" s="2" t="s">
        <v>76</v>
      </c>
      <c r="E48" s="2" t="s">
        <v>165</v>
      </c>
      <c r="F48" s="3">
        <v>157159</v>
      </c>
      <c r="G48" s="4" t="s">
        <v>15</v>
      </c>
      <c r="H48" s="2" t="s">
        <v>78</v>
      </c>
      <c r="I48" s="2" t="s">
        <v>201</v>
      </c>
      <c r="J48" s="2" t="s">
        <v>18</v>
      </c>
    </row>
    <row r="49" spans="1:10" x14ac:dyDescent="0.3">
      <c r="A49" s="5" t="s">
        <v>202</v>
      </c>
      <c r="B49" s="5" t="s">
        <v>60</v>
      </c>
      <c r="C49" s="5" t="s">
        <v>27</v>
      </c>
      <c r="D49" s="5" t="s">
        <v>73</v>
      </c>
      <c r="E49" s="5" t="s">
        <v>203</v>
      </c>
      <c r="F49" s="6">
        <v>163245</v>
      </c>
      <c r="G49" s="4" t="s">
        <v>15</v>
      </c>
      <c r="H49" s="5" t="s">
        <v>78</v>
      </c>
      <c r="I49" s="5" t="s">
        <v>204</v>
      </c>
      <c r="J49" s="5" t="s">
        <v>18</v>
      </c>
    </row>
    <row r="50" spans="1:10" x14ac:dyDescent="0.3">
      <c r="A50" s="2" t="s">
        <v>205</v>
      </c>
      <c r="B50" s="2" t="s">
        <v>65</v>
      </c>
      <c r="C50" s="2" t="s">
        <v>34</v>
      </c>
      <c r="D50" s="2" t="s">
        <v>206</v>
      </c>
      <c r="E50" s="2" t="s">
        <v>207</v>
      </c>
      <c r="F50" s="3">
        <v>114700</v>
      </c>
      <c r="G50" s="7" t="s">
        <v>37</v>
      </c>
      <c r="H50" s="2" t="s">
        <v>16</v>
      </c>
      <c r="I50" s="2" t="s">
        <v>208</v>
      </c>
      <c r="J50" s="2"/>
    </row>
    <row r="51" spans="1:10" x14ac:dyDescent="0.3">
      <c r="A51" s="5" t="s">
        <v>209</v>
      </c>
      <c r="B51" s="5" t="s">
        <v>71</v>
      </c>
      <c r="C51" s="5" t="s">
        <v>41</v>
      </c>
      <c r="D51" s="5" t="s">
        <v>210</v>
      </c>
      <c r="E51" s="5" t="s">
        <v>28</v>
      </c>
      <c r="F51" s="6">
        <v>46262</v>
      </c>
      <c r="G51" s="8" t="s">
        <v>44</v>
      </c>
      <c r="H51" s="5" t="s">
        <v>16</v>
      </c>
      <c r="I51" s="5" t="s">
        <v>211</v>
      </c>
      <c r="J51" s="5" t="s">
        <v>47</v>
      </c>
    </row>
    <row r="52" spans="1:10" x14ac:dyDescent="0.3">
      <c r="A52" s="2" t="s">
        <v>212</v>
      </c>
      <c r="B52" s="2" t="s">
        <v>11</v>
      </c>
      <c r="C52" s="2" t="s">
        <v>12</v>
      </c>
      <c r="D52" s="2" t="s">
        <v>213</v>
      </c>
      <c r="E52" s="2" t="s">
        <v>214</v>
      </c>
      <c r="F52" s="3">
        <v>33831</v>
      </c>
      <c r="G52" s="4" t="s">
        <v>15</v>
      </c>
      <c r="H52" s="2" t="s">
        <v>30</v>
      </c>
      <c r="I52" s="2" t="s">
        <v>215</v>
      </c>
      <c r="J52" s="2" t="s">
        <v>18</v>
      </c>
    </row>
    <row r="53" spans="1:10" x14ac:dyDescent="0.3">
      <c r="A53" s="5" t="s">
        <v>216</v>
      </c>
      <c r="B53" s="5" t="s">
        <v>20</v>
      </c>
      <c r="C53" s="5" t="s">
        <v>21</v>
      </c>
      <c r="D53" s="5" t="s">
        <v>95</v>
      </c>
      <c r="E53" s="5" t="s">
        <v>50</v>
      </c>
      <c r="F53" s="6">
        <v>38743</v>
      </c>
      <c r="G53" s="4" t="s">
        <v>15</v>
      </c>
      <c r="H53" s="5" t="s">
        <v>30</v>
      </c>
      <c r="I53" s="5" t="s">
        <v>217</v>
      </c>
      <c r="J53" s="5" t="s">
        <v>18</v>
      </c>
    </row>
    <row r="54" spans="1:10" x14ac:dyDescent="0.3">
      <c r="A54" s="2" t="s">
        <v>218</v>
      </c>
      <c r="B54" s="2" t="s">
        <v>26</v>
      </c>
      <c r="C54" s="2" t="s">
        <v>27</v>
      </c>
      <c r="D54" s="2" t="s">
        <v>29</v>
      </c>
      <c r="E54" s="2" t="s">
        <v>219</v>
      </c>
      <c r="F54" s="3">
        <v>51938</v>
      </c>
      <c r="G54" s="4" t="s">
        <v>15</v>
      </c>
      <c r="H54" s="2" t="s">
        <v>45</v>
      </c>
      <c r="I54" s="2" t="s">
        <v>220</v>
      </c>
      <c r="J54" s="2" t="s">
        <v>18</v>
      </c>
    </row>
    <row r="55" spans="1:10" x14ac:dyDescent="0.3">
      <c r="A55" s="5" t="s">
        <v>221</v>
      </c>
      <c r="B55" s="5" t="s">
        <v>33</v>
      </c>
      <c r="C55" s="5" t="s">
        <v>34</v>
      </c>
      <c r="D55" s="5" t="s">
        <v>183</v>
      </c>
      <c r="E55" s="5" t="s">
        <v>155</v>
      </c>
      <c r="F55" s="6">
        <v>120666</v>
      </c>
      <c r="G55" s="7" t="s">
        <v>37</v>
      </c>
      <c r="H55" s="5" t="s">
        <v>45</v>
      </c>
      <c r="I55" s="5" t="s">
        <v>222</v>
      </c>
      <c r="J55" s="5"/>
    </row>
    <row r="56" spans="1:10" x14ac:dyDescent="0.3">
      <c r="A56" s="2" t="s">
        <v>223</v>
      </c>
      <c r="B56" s="2" t="s">
        <v>40</v>
      </c>
      <c r="C56" s="2" t="s">
        <v>41</v>
      </c>
      <c r="D56" s="2" t="s">
        <v>61</v>
      </c>
      <c r="E56" s="2" t="s">
        <v>224</v>
      </c>
      <c r="F56" s="3">
        <v>110864</v>
      </c>
      <c r="G56" s="8" t="s">
        <v>44</v>
      </c>
      <c r="H56" s="2" t="s">
        <v>57</v>
      </c>
      <c r="I56" s="2" t="s">
        <v>225</v>
      </c>
      <c r="J56" s="2" t="s">
        <v>47</v>
      </c>
    </row>
    <row r="57" spans="1:10" x14ac:dyDescent="0.3">
      <c r="A57" s="5" t="s">
        <v>226</v>
      </c>
      <c r="B57" s="5" t="s">
        <v>49</v>
      </c>
      <c r="C57" s="5" t="s">
        <v>12</v>
      </c>
      <c r="D57" s="5" t="s">
        <v>99</v>
      </c>
      <c r="E57" s="5" t="s">
        <v>162</v>
      </c>
      <c r="F57" s="6">
        <v>132696</v>
      </c>
      <c r="G57" s="4" t="s">
        <v>15</v>
      </c>
      <c r="H57" s="5" t="s">
        <v>57</v>
      </c>
      <c r="I57" s="5" t="s">
        <v>227</v>
      </c>
      <c r="J57" s="5" t="s">
        <v>18</v>
      </c>
    </row>
    <row r="58" spans="1:10" x14ac:dyDescent="0.3">
      <c r="A58" s="2" t="s">
        <v>228</v>
      </c>
      <c r="B58" s="2" t="s">
        <v>54</v>
      </c>
      <c r="C58" s="2" t="s">
        <v>21</v>
      </c>
      <c r="D58" s="2" t="s">
        <v>229</v>
      </c>
      <c r="E58" s="2" t="s">
        <v>81</v>
      </c>
      <c r="F58" s="3">
        <v>155024</v>
      </c>
      <c r="G58" s="4" t="s">
        <v>15</v>
      </c>
      <c r="H58" s="2" t="s">
        <v>68</v>
      </c>
      <c r="I58" s="2" t="s">
        <v>230</v>
      </c>
      <c r="J58" s="2" t="s">
        <v>18</v>
      </c>
    </row>
    <row r="59" spans="1:10" x14ac:dyDescent="0.3">
      <c r="A59" s="5" t="s">
        <v>231</v>
      </c>
      <c r="B59" s="5" t="s">
        <v>60</v>
      </c>
      <c r="C59" s="5" t="s">
        <v>27</v>
      </c>
      <c r="D59" s="5" t="s">
        <v>232</v>
      </c>
      <c r="E59" s="5" t="s">
        <v>233</v>
      </c>
      <c r="F59" s="6">
        <v>188332</v>
      </c>
      <c r="G59" s="4" t="s">
        <v>15</v>
      </c>
      <c r="H59" s="5" t="s">
        <v>68</v>
      </c>
      <c r="I59" s="5" t="s">
        <v>234</v>
      </c>
      <c r="J59" s="5" t="s">
        <v>18</v>
      </c>
    </row>
    <row r="60" spans="1:10" x14ac:dyDescent="0.3">
      <c r="A60" s="2" t="s">
        <v>235</v>
      </c>
      <c r="B60" s="2" t="s">
        <v>65</v>
      </c>
      <c r="C60" s="2" t="s">
        <v>34</v>
      </c>
      <c r="D60" s="2" t="s">
        <v>236</v>
      </c>
      <c r="E60" s="2" t="s">
        <v>237</v>
      </c>
      <c r="F60" s="3">
        <v>188706</v>
      </c>
      <c r="G60" s="7" t="s">
        <v>37</v>
      </c>
      <c r="H60" s="2" t="s">
        <v>78</v>
      </c>
      <c r="I60" s="2" t="s">
        <v>238</v>
      </c>
      <c r="J60" s="2"/>
    </row>
    <row r="61" spans="1:10" x14ac:dyDescent="0.3">
      <c r="A61" s="5" t="s">
        <v>239</v>
      </c>
      <c r="B61" s="5" t="s">
        <v>71</v>
      </c>
      <c r="C61" s="5" t="s">
        <v>41</v>
      </c>
      <c r="D61" s="5" t="s">
        <v>73</v>
      </c>
      <c r="E61" s="5" t="s">
        <v>240</v>
      </c>
      <c r="F61" s="6">
        <v>79946</v>
      </c>
      <c r="G61" s="8" t="s">
        <v>44</v>
      </c>
      <c r="H61" s="5" t="s">
        <v>78</v>
      </c>
      <c r="I61" s="5" t="s">
        <v>241</v>
      </c>
      <c r="J61" s="5" t="s">
        <v>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showGridLines="0" workbookViewId="0">
      <selection activeCell="I12" sqref="I12"/>
    </sheetView>
  </sheetViews>
  <sheetFormatPr defaultRowHeight="14.4" x14ac:dyDescent="0.3"/>
  <cols>
    <col min="1" max="2" width="12" customWidth="1"/>
    <col min="3" max="3" width="14" customWidth="1"/>
    <col min="4" max="4" width="10" customWidth="1"/>
    <col min="5" max="5" width="4" customWidth="1"/>
    <col min="6" max="6" width="22" customWidth="1"/>
    <col min="7" max="8" width="16" customWidth="1"/>
    <col min="9" max="9" width="10" customWidth="1"/>
  </cols>
  <sheetData>
    <row r="1" spans="1:10" ht="40.049999999999997" customHeight="1" x14ac:dyDescent="0.3">
      <c r="A1" s="75" t="s">
        <v>242</v>
      </c>
      <c r="B1" s="71"/>
      <c r="C1" s="71"/>
      <c r="D1" s="71"/>
      <c r="E1" s="71"/>
      <c r="F1" s="71"/>
      <c r="G1" s="71"/>
      <c r="H1" s="71"/>
    </row>
    <row r="2" spans="1:10" ht="18" customHeight="1" x14ac:dyDescent="0.3">
      <c r="A2" s="72" t="s">
        <v>243</v>
      </c>
      <c r="B2" s="71"/>
      <c r="C2" s="71"/>
      <c r="D2" s="71"/>
      <c r="E2" s="71"/>
      <c r="F2" s="71"/>
      <c r="G2" s="71"/>
      <c r="H2" s="71"/>
    </row>
    <row r="3" spans="1:10" ht="10.050000000000001" customHeight="1" x14ac:dyDescent="0.3"/>
    <row r="4" spans="1:10" ht="22.05" customHeight="1" x14ac:dyDescent="0.3">
      <c r="A4" s="78" t="s">
        <v>244</v>
      </c>
      <c r="B4" s="71"/>
      <c r="C4" s="77" t="s">
        <v>245</v>
      </c>
      <c r="D4" s="71"/>
      <c r="E4" s="80" t="s">
        <v>246</v>
      </c>
      <c r="F4" s="71"/>
      <c r="G4" s="79" t="s">
        <v>247</v>
      </c>
      <c r="H4" s="71"/>
      <c r="I4" s="81" t="s">
        <v>248</v>
      </c>
      <c r="J4" s="71"/>
    </row>
    <row r="5" spans="1:10" ht="34.950000000000003" customHeight="1" x14ac:dyDescent="0.3">
      <c r="A5" s="73">
        <f>COUNTA('Raw Data'!A2:A61)</f>
        <v>60</v>
      </c>
      <c r="B5" s="71"/>
      <c r="C5" s="82">
        <f>SUM('Raw Data'!F2:F61)</f>
        <v>6079620</v>
      </c>
      <c r="D5" s="71"/>
      <c r="E5" s="84">
        <f>SUMIF('Raw Data'!G2:G61,"Paid",'Raw Data'!F2:F61)</f>
        <v>3456384</v>
      </c>
      <c r="F5" s="71"/>
      <c r="G5" s="83">
        <f>SUMIF('Raw Data'!G2:G61,"Pending",'Raw Data'!F2:F61)</f>
        <v>1469717</v>
      </c>
      <c r="H5" s="71"/>
      <c r="I5" s="76">
        <f>SUMIF('Raw Data'!G2:G61,"Overdue",'Raw Data'!F2:F61)</f>
        <v>1153519</v>
      </c>
      <c r="J5" s="71"/>
    </row>
    <row r="6" spans="1:10" x14ac:dyDescent="0.3">
      <c r="A6" s="71"/>
      <c r="B6" s="71"/>
      <c r="C6" s="71"/>
      <c r="D6" s="71"/>
      <c r="E6" s="71"/>
      <c r="F6" s="71"/>
      <c r="G6" s="71"/>
      <c r="H6" s="71"/>
      <c r="I6" s="71"/>
      <c r="J6" s="71"/>
    </row>
    <row r="7" spans="1:10" x14ac:dyDescent="0.3">
      <c r="A7" s="71"/>
      <c r="B7" s="71"/>
      <c r="C7" s="71"/>
      <c r="D7" s="71"/>
      <c r="E7" s="71"/>
      <c r="F7" s="71"/>
      <c r="G7" s="71"/>
      <c r="H7" s="71"/>
      <c r="I7" s="71"/>
      <c r="J7" s="71"/>
    </row>
    <row r="9" spans="1:10" ht="10.050000000000001" customHeight="1" x14ac:dyDescent="0.3"/>
    <row r="10" spans="1:10" x14ac:dyDescent="0.3">
      <c r="A10" s="74" t="s">
        <v>249</v>
      </c>
      <c r="B10" s="71"/>
      <c r="C10" s="71"/>
      <c r="D10" s="71"/>
      <c r="F10" s="74" t="s">
        <v>250</v>
      </c>
      <c r="G10" s="71"/>
      <c r="H10" s="71"/>
      <c r="I10" s="71"/>
    </row>
    <row r="11" spans="1:10" ht="19.95" customHeight="1" x14ac:dyDescent="0.3">
      <c r="A11" s="11" t="s">
        <v>251</v>
      </c>
      <c r="B11" s="11" t="s">
        <v>252</v>
      </c>
      <c r="C11" s="11" t="s">
        <v>245</v>
      </c>
      <c r="D11" s="11" t="s">
        <v>253</v>
      </c>
      <c r="F11" s="12" t="s">
        <v>254</v>
      </c>
      <c r="G11" s="12" t="s">
        <v>245</v>
      </c>
      <c r="H11" s="12" t="s">
        <v>255</v>
      </c>
      <c r="I11" s="12" t="s">
        <v>251</v>
      </c>
    </row>
    <row r="12" spans="1:10" ht="18" customHeight="1" x14ac:dyDescent="0.3">
      <c r="A12" s="13" t="s">
        <v>15</v>
      </c>
      <c r="B12" s="4">
        <f>COUNTIF('Raw Data'!G2:G61,"Paid")</f>
        <v>36</v>
      </c>
      <c r="C12" s="14">
        <f>SUMIF('Raw Data'!G2:G61,"Paid",'Raw Data'!F2:F61)</f>
        <v>3456384</v>
      </c>
      <c r="D12" s="15">
        <f>C12/C$15</f>
        <v>0.56851974301025388</v>
      </c>
      <c r="F12" s="16" t="s">
        <v>11</v>
      </c>
      <c r="G12" s="17">
        <f>SUMIF('Raw Data'!B2:B61,"Tata Consultancy",'Raw Data'!F2:F61)</f>
        <v>425598</v>
      </c>
      <c r="H12" s="17">
        <f>SUMIFS('Raw Data'!F2:F61,'Raw Data'!B2:B61,"Tata Consultancy",'Raw Data'!G2:G61,"Paid")</f>
        <v>425598</v>
      </c>
      <c r="I12" s="4" t="s">
        <v>256</v>
      </c>
    </row>
    <row r="13" spans="1:10" ht="18" customHeight="1" x14ac:dyDescent="0.3">
      <c r="A13" s="18" t="s">
        <v>37</v>
      </c>
      <c r="B13" s="7">
        <f>COUNTIF('Raw Data'!G2:G61,"Pending")</f>
        <v>12</v>
      </c>
      <c r="C13" s="19">
        <f>SUMIF('Raw Data'!G2:G61,"Pending",'Raw Data'!F2:F61)</f>
        <v>1469717</v>
      </c>
      <c r="D13" s="20">
        <f>C13/C$15</f>
        <v>0.24174487879176659</v>
      </c>
      <c r="F13" s="16" t="s">
        <v>20</v>
      </c>
      <c r="G13" s="17">
        <f>SUMIF('Raw Data'!B2:B61,"Infosys Ltd",'Raw Data'!F2:F61)</f>
        <v>558720</v>
      </c>
      <c r="H13" s="17">
        <f>SUMIFS('Raw Data'!F2:F61,'Raw Data'!B2:B61,"Infosys Ltd",'Raw Data'!G2:G61,"Paid")</f>
        <v>558720</v>
      </c>
      <c r="I13" s="4" t="s">
        <v>256</v>
      </c>
    </row>
    <row r="14" spans="1:10" ht="18" customHeight="1" x14ac:dyDescent="0.3">
      <c r="A14" s="21" t="s">
        <v>44</v>
      </c>
      <c r="B14" s="8">
        <f>COUNTIF('Raw Data'!G2:G61,"Overdue")</f>
        <v>12</v>
      </c>
      <c r="C14" s="22">
        <f>SUMIF('Raw Data'!G2:G61,"Overdue",'Raw Data'!F2:F61)</f>
        <v>1153519</v>
      </c>
      <c r="D14" s="23">
        <f>C14/C$15</f>
        <v>0.18973537819797948</v>
      </c>
      <c r="F14" s="16" t="s">
        <v>26</v>
      </c>
      <c r="G14" s="17">
        <f>SUMIF('Raw Data'!B2:B61,"Wipro India",'Raw Data'!F2:F61)</f>
        <v>366666</v>
      </c>
      <c r="H14" s="17">
        <f>SUMIFS('Raw Data'!F2:F61,'Raw Data'!B2:B61,"Wipro India",'Raw Data'!G2:G61,"Paid")</f>
        <v>366666</v>
      </c>
      <c r="I14" s="4" t="s">
        <v>256</v>
      </c>
    </row>
    <row r="15" spans="1:10" ht="18" customHeight="1" x14ac:dyDescent="0.3">
      <c r="A15" s="24" t="s">
        <v>257</v>
      </c>
      <c r="B15" s="25">
        <f>SUM(B12:B14)</f>
        <v>60</v>
      </c>
      <c r="C15" s="26">
        <f>SUM(C12:C14)</f>
        <v>6079620</v>
      </c>
      <c r="D15" s="27">
        <f>SUM(D12:D14)</f>
        <v>0.99999999999999989</v>
      </c>
      <c r="F15" s="16" t="s">
        <v>33</v>
      </c>
      <c r="G15" s="17">
        <f>SUMIF('Raw Data'!B2:B61,"HCL Tech",'Raw Data'!F2:F61)</f>
        <v>763255</v>
      </c>
      <c r="H15" s="17">
        <f>SUMIFS('Raw Data'!F2:F61,'Raw Data'!B2:B61,"HCL Tech",'Raw Data'!G2:G61,"Paid")</f>
        <v>0</v>
      </c>
      <c r="I15" s="4" t="s">
        <v>256</v>
      </c>
    </row>
    <row r="16" spans="1:10" ht="18" customHeight="1" x14ac:dyDescent="0.3">
      <c r="F16" s="16" t="s">
        <v>40</v>
      </c>
      <c r="G16" s="17">
        <f>SUMIF('Raw Data'!B2:B61,"Reliance Retail",'Raw Data'!F2:F61)</f>
        <v>685717</v>
      </c>
      <c r="H16" s="17">
        <f>SUMIFS('Raw Data'!F2:F61,'Raw Data'!B2:B61,"Reliance Retail",'Raw Data'!G2:G61,"Paid")</f>
        <v>0</v>
      </c>
      <c r="I16" s="4" t="s">
        <v>256</v>
      </c>
    </row>
    <row r="17" spans="6:9" ht="18" customHeight="1" x14ac:dyDescent="0.3">
      <c r="F17" s="16" t="s">
        <v>49</v>
      </c>
      <c r="G17" s="17">
        <f>SUMIF('Raw Data'!B2:B61,"Sun Pharma",'Raw Data'!F2:F61)</f>
        <v>445985</v>
      </c>
      <c r="H17" s="17">
        <f>SUMIFS('Raw Data'!F2:F61,'Raw Data'!B2:B61,"Sun Pharma",'Raw Data'!G2:G61,"Paid")</f>
        <v>445985</v>
      </c>
      <c r="I17" s="4" t="s">
        <v>256</v>
      </c>
    </row>
    <row r="18" spans="6:9" ht="18" customHeight="1" x14ac:dyDescent="0.3">
      <c r="F18" s="16" t="s">
        <v>54</v>
      </c>
      <c r="G18" s="17">
        <f>SUMIF('Raw Data'!B2:B61,"Asian Paints",'Raw Data'!F2:F61)</f>
        <v>751432</v>
      </c>
      <c r="H18" s="17">
        <f>SUMIFS('Raw Data'!F2:F61,'Raw Data'!B2:B61,"Asian Paints",'Raw Data'!G2:G61,"Paid")</f>
        <v>751432</v>
      </c>
      <c r="I18" s="4" t="s">
        <v>256</v>
      </c>
    </row>
    <row r="19" spans="6:9" ht="18" customHeight="1" x14ac:dyDescent="0.3">
      <c r="F19" s="16" t="s">
        <v>60</v>
      </c>
      <c r="G19" s="17">
        <f>SUMIF('Raw Data'!B2:B61,"HDFC Securities",'Raw Data'!F2:F61)</f>
        <v>907983</v>
      </c>
      <c r="H19" s="17">
        <f>SUMIFS('Raw Data'!F2:F61,'Raw Data'!B2:B61,"HDFC Securities",'Raw Data'!G2:G61,"Paid")</f>
        <v>907983</v>
      </c>
      <c r="I19" s="4" t="s">
        <v>256</v>
      </c>
    </row>
  </sheetData>
  <mergeCells count="14">
    <mergeCell ref="A2:H2"/>
    <mergeCell ref="A5:B7"/>
    <mergeCell ref="A10:D10"/>
    <mergeCell ref="A1:H1"/>
    <mergeCell ref="I5:J7"/>
    <mergeCell ref="F10:I10"/>
    <mergeCell ref="C4:D4"/>
    <mergeCell ref="A4:B4"/>
    <mergeCell ref="G4:H4"/>
    <mergeCell ref="E4:F4"/>
    <mergeCell ref="I4:J4"/>
    <mergeCell ref="C5:D7"/>
    <mergeCell ref="G5:H7"/>
    <mergeCell ref="E5:F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showGridLines="0" topLeftCell="A2" workbookViewId="0">
      <selection activeCell="C3" sqref="C3"/>
    </sheetView>
  </sheetViews>
  <sheetFormatPr defaultRowHeight="14.4" x14ac:dyDescent="0.3"/>
  <cols>
    <col min="1" max="1" width="12" customWidth="1"/>
    <col min="2" max="2" width="16" customWidth="1"/>
    <col min="3" max="3" width="18" customWidth="1"/>
    <col min="4" max="6" width="16" customWidth="1"/>
    <col min="7" max="7" width="14" customWidth="1"/>
  </cols>
  <sheetData>
    <row r="1" spans="1:7" ht="34.950000000000003" customHeight="1" x14ac:dyDescent="0.3">
      <c r="A1" s="85" t="s">
        <v>258</v>
      </c>
      <c r="B1" s="71"/>
      <c r="C1" s="71"/>
      <c r="D1" s="71"/>
      <c r="E1" s="71"/>
      <c r="F1" s="71"/>
      <c r="G1" s="71"/>
    </row>
    <row r="2" spans="1:7" ht="22.05" customHeight="1" x14ac:dyDescent="0.3">
      <c r="A2" s="28" t="s">
        <v>7</v>
      </c>
      <c r="B2" s="28" t="s">
        <v>244</v>
      </c>
      <c r="C2" s="28" t="s">
        <v>245</v>
      </c>
      <c r="D2" s="28" t="s">
        <v>255</v>
      </c>
      <c r="E2" s="28" t="s">
        <v>259</v>
      </c>
      <c r="F2" s="28" t="s">
        <v>260</v>
      </c>
      <c r="G2" s="28" t="s">
        <v>261</v>
      </c>
    </row>
    <row r="3" spans="1:7" ht="18" customHeight="1" x14ac:dyDescent="0.3">
      <c r="A3" s="2" t="s">
        <v>16</v>
      </c>
      <c r="B3" s="29">
        <f>COUNTIF('Raw Data'!H2:H61,"Jan-26")</f>
        <v>10</v>
      </c>
      <c r="C3" s="30">
        <f>SUMIF('Raw Data'!H2:H61,"Jan-26",'Raw Data'!F2:F61)</f>
        <v>1051832</v>
      </c>
      <c r="D3" s="30">
        <f>SUMIFS('Raw Data'!F2:F61,'Raw Data'!H2:H61,"Jan-26",'Raw Data'!G2:G61,"Paid")</f>
        <v>608330</v>
      </c>
      <c r="E3" s="30">
        <f>SUMIFS('Raw Data'!F2:F61,'Raw Data'!H2:H61,"Jan-26",'Raw Data'!G2:G61,"Pending")</f>
        <v>213894</v>
      </c>
      <c r="F3" s="30">
        <f>SUMIFS('Raw Data'!F2:F61,'Raw Data'!H2:H61,"Jan-26",'Raw Data'!G2:G61,"Overdue")</f>
        <v>229608</v>
      </c>
      <c r="G3" s="31">
        <f t="shared" ref="G3:G8" si="0">IF(C3=0,0,D3/C3)</f>
        <v>0.57835281679964101</v>
      </c>
    </row>
    <row r="4" spans="1:7" ht="18" customHeight="1" x14ac:dyDescent="0.3">
      <c r="A4" s="5" t="s">
        <v>30</v>
      </c>
      <c r="B4" s="32">
        <f>COUNTIF('Raw Data'!H2:H61,"Feb-26")</f>
        <v>10</v>
      </c>
      <c r="C4" s="33">
        <f>SUMIF('Raw Data'!H2:H61,"Feb-26",'Raw Data'!F2:F61)</f>
        <v>589390</v>
      </c>
      <c r="D4" s="33">
        <f>SUMIFS('Raw Data'!F2:F61,'Raw Data'!H2:H61,"Feb-26",'Raw Data'!G2:G61,"Paid")</f>
        <v>326906</v>
      </c>
      <c r="E4" s="33">
        <f>SUMIFS('Raw Data'!F2:F61,'Raw Data'!H2:H61,"Feb-26",'Raw Data'!G2:G61,"Pending")</f>
        <v>177627</v>
      </c>
      <c r="F4" s="33">
        <f>SUMIFS('Raw Data'!F2:F61,'Raw Data'!H2:H61,"Feb-26",'Raw Data'!G2:G61,"Overdue")</f>
        <v>84857</v>
      </c>
      <c r="G4" s="34">
        <f t="shared" si="0"/>
        <v>0.55465141926398476</v>
      </c>
    </row>
    <row r="5" spans="1:7" ht="18" customHeight="1" x14ac:dyDescent="0.3">
      <c r="A5" s="2" t="s">
        <v>45</v>
      </c>
      <c r="B5" s="29">
        <f>COUNTIF('Raw Data'!H2:H61,"Mar-26")</f>
        <v>10</v>
      </c>
      <c r="C5" s="30">
        <f>SUMIF('Raw Data'!H2:H61,"Mar-26",'Raw Data'!F2:F61)</f>
        <v>873034</v>
      </c>
      <c r="D5" s="30">
        <f>SUMIFS('Raw Data'!F2:F61,'Raw Data'!H2:H61,"Mar-26",'Raw Data'!G2:G61,"Paid")</f>
        <v>402486</v>
      </c>
      <c r="E5" s="30">
        <f>SUMIFS('Raw Data'!F2:F61,'Raw Data'!H2:H61,"Mar-26",'Raw Data'!G2:G61,"Pending")</f>
        <v>297306</v>
      </c>
      <c r="F5" s="30">
        <f>SUMIFS('Raw Data'!F2:F61,'Raw Data'!H2:H61,"Mar-26",'Raw Data'!G2:G61,"Overdue")</f>
        <v>173242</v>
      </c>
      <c r="G5" s="31">
        <f t="shared" si="0"/>
        <v>0.46101984573338495</v>
      </c>
    </row>
    <row r="6" spans="1:7" ht="18" customHeight="1" x14ac:dyDescent="0.3">
      <c r="A6" s="5" t="s">
        <v>57</v>
      </c>
      <c r="B6" s="32">
        <f>COUNTIF('Raw Data'!H2:H61,"Apr-26")</f>
        <v>10</v>
      </c>
      <c r="C6" s="33">
        <f>SUMIF('Raw Data'!H2:H61,"Apr-26",'Raw Data'!F2:F61)</f>
        <v>1207378</v>
      </c>
      <c r="D6" s="33">
        <f>SUMIFS('Raw Data'!F2:F61,'Raw Data'!H2:H61,"Apr-26",'Raw Data'!G2:G61,"Paid")</f>
        <v>783686</v>
      </c>
      <c r="E6" s="33">
        <f>SUMIFS('Raw Data'!F2:F61,'Raw Data'!H2:H61,"Apr-26",'Raw Data'!G2:G61,"Pending")</f>
        <v>162260</v>
      </c>
      <c r="F6" s="33">
        <f>SUMIFS('Raw Data'!F2:F61,'Raw Data'!H2:H61,"Apr-26",'Raw Data'!G2:G61,"Overdue")</f>
        <v>261432</v>
      </c>
      <c r="G6" s="34">
        <f t="shared" si="0"/>
        <v>0.64908090092746429</v>
      </c>
    </row>
    <row r="7" spans="1:7" ht="18" customHeight="1" x14ac:dyDescent="0.3">
      <c r="A7" s="2" t="s">
        <v>68</v>
      </c>
      <c r="B7" s="29">
        <f>COUNTIF('Raw Data'!H2:H61,"May-26")</f>
        <v>10</v>
      </c>
      <c r="C7" s="30">
        <f>SUMIF('Raw Data'!H2:H61,"May-26",'Raw Data'!F2:F61)</f>
        <v>1109610</v>
      </c>
      <c r="D7" s="30">
        <f>SUMIFS('Raw Data'!F2:F61,'Raw Data'!H2:H61,"May-26",'Raw Data'!G2:G61,"Paid")</f>
        <v>624126</v>
      </c>
      <c r="E7" s="30">
        <f>SUMIFS('Raw Data'!F2:F61,'Raw Data'!H2:H61,"May-26",'Raw Data'!G2:G61,"Pending")</f>
        <v>235225</v>
      </c>
      <c r="F7" s="30">
        <f>SUMIFS('Raw Data'!F2:F61,'Raw Data'!H2:H61,"May-26",'Raw Data'!G2:G61,"Overdue")</f>
        <v>250259</v>
      </c>
      <c r="G7" s="31">
        <f t="shared" si="0"/>
        <v>0.56247330143023222</v>
      </c>
    </row>
    <row r="8" spans="1:7" ht="18" customHeight="1" x14ac:dyDescent="0.3">
      <c r="A8" s="5" t="s">
        <v>78</v>
      </c>
      <c r="B8" s="32">
        <f>COUNTIF('Raw Data'!H2:H61,"Jun-26")</f>
        <v>10</v>
      </c>
      <c r="C8" s="33">
        <f>SUMIF('Raw Data'!H2:H61,"Jun-26",'Raw Data'!F2:F61)</f>
        <v>1248376</v>
      </c>
      <c r="D8" s="33">
        <f>SUMIFS('Raw Data'!F2:F61,'Raw Data'!H2:H61,"Jun-26",'Raw Data'!G2:G61,"Paid")</f>
        <v>710850</v>
      </c>
      <c r="E8" s="33">
        <f>SUMIFS('Raw Data'!F2:F61,'Raw Data'!H2:H61,"Jun-26",'Raw Data'!G2:G61,"Pending")</f>
        <v>383405</v>
      </c>
      <c r="F8" s="33">
        <f>SUMIFS('Raw Data'!F2:F61,'Raw Data'!H2:H61,"Jun-26",'Raw Data'!G2:G61,"Overdue")</f>
        <v>154121</v>
      </c>
      <c r="G8" s="34">
        <f t="shared" si="0"/>
        <v>0.56941979019141664</v>
      </c>
    </row>
    <row r="9" spans="1:7" ht="19.95" customHeight="1" x14ac:dyDescent="0.3">
      <c r="A9" s="35" t="s">
        <v>257</v>
      </c>
      <c r="B9" s="36">
        <f>SUM(B3:B8)</f>
        <v>60</v>
      </c>
      <c r="C9" s="37">
        <f>SUM(C3:C8)</f>
        <v>6079620</v>
      </c>
      <c r="D9" s="37">
        <f>SUM(D3:D8)</f>
        <v>3456384</v>
      </c>
      <c r="E9" s="37">
        <f>SUM(E3:E8)</f>
        <v>1469717</v>
      </c>
      <c r="F9" s="37">
        <f>SUM(F3:F8)</f>
        <v>1153519</v>
      </c>
      <c r="G9" s="38">
        <f>IFERROR(D9/C9,0)</f>
        <v>0.56851974301025388</v>
      </c>
    </row>
  </sheetData>
  <mergeCells count="1">
    <mergeCell ref="A1:G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showGridLines="0" workbookViewId="0">
      <selection sqref="A1:F1"/>
    </sheetView>
  </sheetViews>
  <sheetFormatPr defaultRowHeight="14.4" x14ac:dyDescent="0.3"/>
  <cols>
    <col min="1" max="1" width="16" customWidth="1"/>
    <col min="2" max="2" width="14" customWidth="1"/>
    <col min="3" max="4" width="18" customWidth="1"/>
    <col min="5" max="5" width="24" customWidth="1"/>
    <col min="6" max="6" width="12" customWidth="1"/>
  </cols>
  <sheetData>
    <row r="1" spans="1:6" ht="34.950000000000003" customHeight="1" x14ac:dyDescent="0.3">
      <c r="A1" s="86" t="s">
        <v>262</v>
      </c>
      <c r="B1" s="71"/>
      <c r="C1" s="71"/>
      <c r="D1" s="71"/>
      <c r="E1" s="71"/>
      <c r="F1" s="71"/>
    </row>
    <row r="2" spans="1:6" ht="22.05" customHeight="1" x14ac:dyDescent="0.3">
      <c r="A2" s="39" t="s">
        <v>263</v>
      </c>
      <c r="B2" s="39" t="s">
        <v>252</v>
      </c>
      <c r="C2" s="39" t="s">
        <v>245</v>
      </c>
      <c r="D2" s="39" t="s">
        <v>264</v>
      </c>
      <c r="E2" s="39" t="s">
        <v>265</v>
      </c>
      <c r="F2" s="39" t="s">
        <v>266</v>
      </c>
    </row>
    <row r="3" spans="1:6" ht="22.05" customHeight="1" x14ac:dyDescent="0.3">
      <c r="A3" s="40" t="s">
        <v>267</v>
      </c>
      <c r="B3" s="41">
        <v>14</v>
      </c>
      <c r="C3" s="42">
        <v>520000</v>
      </c>
      <c r="D3" s="43">
        <f>C3/SUM($C$3:$C$6)</f>
        <v>0.47058823529411764</v>
      </c>
      <c r="E3" s="41" t="s">
        <v>268</v>
      </c>
      <c r="F3" s="44" t="s">
        <v>269</v>
      </c>
    </row>
    <row r="4" spans="1:6" ht="22.05" customHeight="1" x14ac:dyDescent="0.3">
      <c r="A4" s="18" t="s">
        <v>270</v>
      </c>
      <c r="B4" s="7">
        <v>8</v>
      </c>
      <c r="C4" s="19">
        <v>310000</v>
      </c>
      <c r="D4" s="20">
        <f>C4/SUM($C$3:$C$6)</f>
        <v>0.28054298642533937</v>
      </c>
      <c r="E4" s="7" t="s">
        <v>271</v>
      </c>
      <c r="F4" s="9" t="s">
        <v>272</v>
      </c>
    </row>
    <row r="5" spans="1:6" ht="22.05" customHeight="1" x14ac:dyDescent="0.3">
      <c r="A5" s="45" t="s">
        <v>273</v>
      </c>
      <c r="B5" s="46">
        <v>5</v>
      </c>
      <c r="C5" s="47">
        <v>180000</v>
      </c>
      <c r="D5" s="48">
        <f>C5/SUM($C$3:$C$6)</f>
        <v>0.16289592760180996</v>
      </c>
      <c r="E5" s="46" t="s">
        <v>274</v>
      </c>
      <c r="F5" s="49" t="s">
        <v>275</v>
      </c>
    </row>
    <row r="6" spans="1:6" ht="22.05" customHeight="1" x14ac:dyDescent="0.3">
      <c r="A6" s="21" t="s">
        <v>276</v>
      </c>
      <c r="B6" s="8">
        <v>3</v>
      </c>
      <c r="C6" s="22">
        <v>95000</v>
      </c>
      <c r="D6" s="23">
        <f>C6/SUM($C$3:$C$6)</f>
        <v>8.5972850678733032E-2</v>
      </c>
      <c r="E6" s="8" t="s">
        <v>277</v>
      </c>
      <c r="F6" s="10" t="s">
        <v>278</v>
      </c>
    </row>
    <row r="7" spans="1:6" ht="19.95" customHeight="1" x14ac:dyDescent="0.3">
      <c r="A7" s="50" t="s">
        <v>257</v>
      </c>
      <c r="B7" s="51">
        <f>SUM(B3:B6)</f>
        <v>30</v>
      </c>
      <c r="C7" s="52">
        <f>SUM(C3:C6)</f>
        <v>1105000</v>
      </c>
      <c r="D7" s="53">
        <f>SUM(D3:D6)</f>
        <v>1</v>
      </c>
      <c r="E7" s="51"/>
      <c r="F7" s="51"/>
    </row>
  </sheetData>
  <mergeCells count="1">
    <mergeCell ref="A1:F1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3"/>
  <sheetViews>
    <sheetView showGridLines="0" workbookViewId="0">
      <selection sqref="A1:G1"/>
    </sheetView>
  </sheetViews>
  <sheetFormatPr defaultRowHeight="14.4" x14ac:dyDescent="0.3"/>
  <cols>
    <col min="1" max="1" width="22" customWidth="1"/>
    <col min="2" max="2" width="14" customWidth="1"/>
    <col min="3" max="3" width="18" customWidth="1"/>
    <col min="4" max="6" width="16" customWidth="1"/>
    <col min="7" max="7" width="14" customWidth="1"/>
  </cols>
  <sheetData>
    <row r="1" spans="1:7" ht="34.950000000000003" customHeight="1" x14ac:dyDescent="0.3">
      <c r="A1" s="85" t="s">
        <v>279</v>
      </c>
      <c r="B1" s="71"/>
      <c r="C1" s="71"/>
      <c r="D1" s="71"/>
      <c r="E1" s="71"/>
      <c r="F1" s="71"/>
      <c r="G1" s="71"/>
    </row>
    <row r="2" spans="1:7" ht="22.05" customHeight="1" x14ac:dyDescent="0.3">
      <c r="A2" s="28" t="s">
        <v>1</v>
      </c>
      <c r="B2" s="28" t="s">
        <v>244</v>
      </c>
      <c r="C2" s="28" t="s">
        <v>245</v>
      </c>
      <c r="D2" s="28" t="s">
        <v>255</v>
      </c>
      <c r="E2" s="28" t="s">
        <v>259</v>
      </c>
      <c r="F2" s="28" t="s">
        <v>260</v>
      </c>
      <c r="G2" s="28" t="s">
        <v>280</v>
      </c>
    </row>
    <row r="3" spans="1:7" ht="18" customHeight="1" x14ac:dyDescent="0.3">
      <c r="A3" s="2" t="s">
        <v>11</v>
      </c>
      <c r="B3" s="29">
        <f>COUNTIF('Raw Data'!B2:B61,"Tata Consultancy")</f>
        <v>6</v>
      </c>
      <c r="C3" s="30">
        <f>SUMIF('Raw Data'!B2:B61,"Tata Consultancy",'Raw Data'!F2:F61)</f>
        <v>425598</v>
      </c>
      <c r="D3" s="30">
        <f>SUMIFS('Raw Data'!F2:F61,'Raw Data'!B2:B61,"Tata Consultancy",'Raw Data'!G2:G61,"Paid")</f>
        <v>425598</v>
      </c>
      <c r="E3" s="30">
        <f>SUMIFS('Raw Data'!F2:F61,'Raw Data'!B2:B61,"Tata Consultancy",'Raw Data'!G2:G61,"Pending")</f>
        <v>0</v>
      </c>
      <c r="F3" s="30">
        <f>SUMIFS('Raw Data'!F2:F61,'Raw Data'!B2:B61,"Tata Consultancy",'Raw Data'!G2:G61,"Overdue")</f>
        <v>0</v>
      </c>
      <c r="G3" s="31">
        <f t="shared" ref="G3:G12" si="0">IF(C3=0,0,D3/C3)</f>
        <v>1</v>
      </c>
    </row>
    <row r="4" spans="1:7" ht="18" customHeight="1" x14ac:dyDescent="0.3">
      <c r="A4" s="5" t="s">
        <v>20</v>
      </c>
      <c r="B4" s="32">
        <f>COUNTIF('Raw Data'!B2:B61,"Infosys Ltd")</f>
        <v>6</v>
      </c>
      <c r="C4" s="33">
        <f>SUMIF('Raw Data'!B2:B61,"Infosys Ltd",'Raw Data'!F2:F61)</f>
        <v>558720</v>
      </c>
      <c r="D4" s="33">
        <f>SUMIFS('Raw Data'!F2:F61,'Raw Data'!B2:B61,"Infosys Ltd",'Raw Data'!G2:G61,"Paid")</f>
        <v>558720</v>
      </c>
      <c r="E4" s="33">
        <f>SUMIFS('Raw Data'!F2:F61,'Raw Data'!B2:B61,"Infosys Ltd",'Raw Data'!G2:G61,"Pending")</f>
        <v>0</v>
      </c>
      <c r="F4" s="33">
        <f>SUMIFS('Raw Data'!F2:F61,'Raw Data'!B2:B61,"Infosys Ltd",'Raw Data'!G2:G61,"Overdue")</f>
        <v>0</v>
      </c>
      <c r="G4" s="34">
        <f t="shared" si="0"/>
        <v>1</v>
      </c>
    </row>
    <row r="5" spans="1:7" ht="18" customHeight="1" x14ac:dyDescent="0.3">
      <c r="A5" s="2" t="s">
        <v>26</v>
      </c>
      <c r="B5" s="29">
        <f>COUNTIF('Raw Data'!B2:B61,"Wipro India")</f>
        <v>6</v>
      </c>
      <c r="C5" s="30">
        <f>SUMIF('Raw Data'!B2:B61,"Wipro India",'Raw Data'!F2:F61)</f>
        <v>366666</v>
      </c>
      <c r="D5" s="30">
        <f>SUMIFS('Raw Data'!F2:F61,'Raw Data'!B2:B61,"Wipro India",'Raw Data'!G2:G61,"Paid")</f>
        <v>366666</v>
      </c>
      <c r="E5" s="30">
        <f>SUMIFS('Raw Data'!F2:F61,'Raw Data'!B2:B61,"Wipro India",'Raw Data'!G2:G61,"Pending")</f>
        <v>0</v>
      </c>
      <c r="F5" s="30">
        <f>SUMIFS('Raw Data'!F2:F61,'Raw Data'!B2:B61,"Wipro India",'Raw Data'!G2:G61,"Overdue")</f>
        <v>0</v>
      </c>
      <c r="G5" s="31">
        <f t="shared" si="0"/>
        <v>1</v>
      </c>
    </row>
    <row r="6" spans="1:7" ht="18" customHeight="1" x14ac:dyDescent="0.3">
      <c r="A6" s="5" t="s">
        <v>33</v>
      </c>
      <c r="B6" s="32">
        <f>COUNTIF('Raw Data'!B2:B61,"HCL Tech")</f>
        <v>6</v>
      </c>
      <c r="C6" s="33">
        <f>SUMIF('Raw Data'!B2:B61,"HCL Tech",'Raw Data'!F2:F61)</f>
        <v>763255</v>
      </c>
      <c r="D6" s="33">
        <f>SUMIFS('Raw Data'!F2:F61,'Raw Data'!B2:B61,"HCL Tech",'Raw Data'!G2:G61,"Paid")</f>
        <v>0</v>
      </c>
      <c r="E6" s="33">
        <f>SUMIFS('Raw Data'!F2:F61,'Raw Data'!B2:B61,"HCL Tech",'Raw Data'!G2:G61,"Pending")</f>
        <v>763255</v>
      </c>
      <c r="F6" s="33">
        <f>SUMIFS('Raw Data'!F2:F61,'Raw Data'!B2:B61,"HCL Tech",'Raw Data'!G2:G61,"Overdue")</f>
        <v>0</v>
      </c>
      <c r="G6" s="34">
        <f t="shared" si="0"/>
        <v>0</v>
      </c>
    </row>
    <row r="7" spans="1:7" ht="18" customHeight="1" x14ac:dyDescent="0.3">
      <c r="A7" s="2" t="s">
        <v>40</v>
      </c>
      <c r="B7" s="29">
        <f>COUNTIF('Raw Data'!B2:B61,"Reliance Retail")</f>
        <v>6</v>
      </c>
      <c r="C7" s="30">
        <f>SUMIF('Raw Data'!B2:B61,"Reliance Retail",'Raw Data'!F2:F61)</f>
        <v>685717</v>
      </c>
      <c r="D7" s="30">
        <f>SUMIFS('Raw Data'!F2:F61,'Raw Data'!B2:B61,"Reliance Retail",'Raw Data'!G2:G61,"Paid")</f>
        <v>0</v>
      </c>
      <c r="E7" s="30">
        <f>SUMIFS('Raw Data'!F2:F61,'Raw Data'!B2:B61,"Reliance Retail",'Raw Data'!G2:G61,"Pending")</f>
        <v>0</v>
      </c>
      <c r="F7" s="30">
        <f>SUMIFS('Raw Data'!F2:F61,'Raw Data'!B2:B61,"Reliance Retail",'Raw Data'!G2:G61,"Overdue")</f>
        <v>685717</v>
      </c>
      <c r="G7" s="31">
        <f t="shared" si="0"/>
        <v>0</v>
      </c>
    </row>
    <row r="8" spans="1:7" ht="18" customHeight="1" x14ac:dyDescent="0.3">
      <c r="A8" s="5" t="s">
        <v>49</v>
      </c>
      <c r="B8" s="32">
        <f>COUNTIF('Raw Data'!B2:B61,"Sun Pharma")</f>
        <v>6</v>
      </c>
      <c r="C8" s="33">
        <f>SUMIF('Raw Data'!B2:B61,"Sun Pharma",'Raw Data'!F2:F61)</f>
        <v>445985</v>
      </c>
      <c r="D8" s="33">
        <f>SUMIFS('Raw Data'!F2:F61,'Raw Data'!B2:B61,"Sun Pharma",'Raw Data'!G2:G61,"Paid")</f>
        <v>445985</v>
      </c>
      <c r="E8" s="33">
        <f>SUMIFS('Raw Data'!F2:F61,'Raw Data'!B2:B61,"Sun Pharma",'Raw Data'!G2:G61,"Pending")</f>
        <v>0</v>
      </c>
      <c r="F8" s="33">
        <f>SUMIFS('Raw Data'!F2:F61,'Raw Data'!B2:B61,"Sun Pharma",'Raw Data'!G2:G61,"Overdue")</f>
        <v>0</v>
      </c>
      <c r="G8" s="34">
        <f t="shared" si="0"/>
        <v>1</v>
      </c>
    </row>
    <row r="9" spans="1:7" ht="18" customHeight="1" x14ac:dyDescent="0.3">
      <c r="A9" s="2" t="s">
        <v>54</v>
      </c>
      <c r="B9" s="29">
        <f>COUNTIF('Raw Data'!B2:B61,"Asian Paints")</f>
        <v>6</v>
      </c>
      <c r="C9" s="30">
        <f>SUMIF('Raw Data'!B2:B61,"Asian Paints",'Raw Data'!F2:F61)</f>
        <v>751432</v>
      </c>
      <c r="D9" s="30">
        <f>SUMIFS('Raw Data'!F2:F61,'Raw Data'!B2:B61,"Asian Paints",'Raw Data'!G2:G61,"Paid")</f>
        <v>751432</v>
      </c>
      <c r="E9" s="30">
        <f>SUMIFS('Raw Data'!F2:F61,'Raw Data'!B2:B61,"Asian Paints",'Raw Data'!G2:G61,"Pending")</f>
        <v>0</v>
      </c>
      <c r="F9" s="30">
        <f>SUMIFS('Raw Data'!F2:F61,'Raw Data'!B2:B61,"Asian Paints",'Raw Data'!G2:G61,"Overdue")</f>
        <v>0</v>
      </c>
      <c r="G9" s="31">
        <f t="shared" si="0"/>
        <v>1</v>
      </c>
    </row>
    <row r="10" spans="1:7" ht="18" customHeight="1" x14ac:dyDescent="0.3">
      <c r="A10" s="5" t="s">
        <v>60</v>
      </c>
      <c r="B10" s="32">
        <f>COUNTIF('Raw Data'!B2:B61,"HDFC Securities")</f>
        <v>6</v>
      </c>
      <c r="C10" s="33">
        <f>SUMIF('Raw Data'!B2:B61,"HDFC Securities",'Raw Data'!F2:F61)</f>
        <v>907983</v>
      </c>
      <c r="D10" s="33">
        <f>SUMIFS('Raw Data'!F2:F61,'Raw Data'!B2:B61,"HDFC Securities",'Raw Data'!G2:G61,"Paid")</f>
        <v>907983</v>
      </c>
      <c r="E10" s="33">
        <f>SUMIFS('Raw Data'!F2:F61,'Raw Data'!B2:B61,"HDFC Securities",'Raw Data'!G2:G61,"Pending")</f>
        <v>0</v>
      </c>
      <c r="F10" s="33">
        <f>SUMIFS('Raw Data'!F2:F61,'Raw Data'!B2:B61,"HDFC Securities",'Raw Data'!G2:G61,"Overdue")</f>
        <v>0</v>
      </c>
      <c r="G10" s="34">
        <f t="shared" si="0"/>
        <v>1</v>
      </c>
    </row>
    <row r="11" spans="1:7" ht="18" customHeight="1" x14ac:dyDescent="0.3">
      <c r="A11" s="2" t="s">
        <v>65</v>
      </c>
      <c r="B11" s="29">
        <f>COUNTIF('Raw Data'!B2:B61,"Bajaj Auto")</f>
        <v>6</v>
      </c>
      <c r="C11" s="30">
        <f>SUMIF('Raw Data'!B2:B61,"Bajaj Auto",'Raw Data'!F2:F61)</f>
        <v>706462</v>
      </c>
      <c r="D11" s="30">
        <f>SUMIFS('Raw Data'!F2:F61,'Raw Data'!B2:B61,"Bajaj Auto",'Raw Data'!G2:G61,"Paid")</f>
        <v>0</v>
      </c>
      <c r="E11" s="30">
        <f>SUMIFS('Raw Data'!F2:F61,'Raw Data'!B2:B61,"Bajaj Auto",'Raw Data'!G2:G61,"Pending")</f>
        <v>706462</v>
      </c>
      <c r="F11" s="30">
        <f>SUMIFS('Raw Data'!F2:F61,'Raw Data'!B2:B61,"Bajaj Auto",'Raw Data'!G2:G61,"Overdue")</f>
        <v>0</v>
      </c>
      <c r="G11" s="31">
        <f t="shared" si="0"/>
        <v>0</v>
      </c>
    </row>
    <row r="12" spans="1:7" ht="18" customHeight="1" x14ac:dyDescent="0.3">
      <c r="A12" s="5" t="s">
        <v>71</v>
      </c>
      <c r="B12" s="32">
        <f>COUNTIF('Raw Data'!B2:B61,"Mahindra Ltd")</f>
        <v>6</v>
      </c>
      <c r="C12" s="33">
        <f>SUMIF('Raw Data'!B2:B61,"Mahindra Ltd",'Raw Data'!F2:F61)</f>
        <v>467802</v>
      </c>
      <c r="D12" s="33">
        <f>SUMIFS('Raw Data'!F2:F61,'Raw Data'!B2:B61,"Mahindra Ltd",'Raw Data'!G2:G61,"Paid")</f>
        <v>0</v>
      </c>
      <c r="E12" s="33">
        <f>SUMIFS('Raw Data'!F2:F61,'Raw Data'!B2:B61,"Mahindra Ltd",'Raw Data'!G2:G61,"Pending")</f>
        <v>0</v>
      </c>
      <c r="F12" s="33">
        <f>SUMIFS('Raw Data'!F2:F61,'Raw Data'!B2:B61,"Mahindra Ltd",'Raw Data'!G2:G61,"Overdue")</f>
        <v>467802</v>
      </c>
      <c r="G12" s="34">
        <f t="shared" si="0"/>
        <v>0</v>
      </c>
    </row>
    <row r="13" spans="1:7" ht="19.95" customHeight="1" x14ac:dyDescent="0.3">
      <c r="A13" s="35" t="s">
        <v>281</v>
      </c>
      <c r="B13" s="36">
        <f>SUM(B3:B12)</f>
        <v>60</v>
      </c>
      <c r="C13" s="37">
        <f>SUM(C3:C12)</f>
        <v>6079620</v>
      </c>
      <c r="D13" s="37">
        <f>SUM(D3:D12)</f>
        <v>3456384</v>
      </c>
      <c r="E13" s="37">
        <f>SUM(E3:E12)</f>
        <v>1469717</v>
      </c>
      <c r="F13" s="37">
        <f>SUM(F3:F12)</f>
        <v>1153519</v>
      </c>
      <c r="G13" s="38">
        <f>IFERROR(D13/C13,0)</f>
        <v>0.56851974301025388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8"/>
  <sheetViews>
    <sheetView showGridLines="0" workbookViewId="0">
      <selection sqref="A1:F1"/>
    </sheetView>
  </sheetViews>
  <sheetFormatPr defaultRowHeight="14.4" x14ac:dyDescent="0.3"/>
  <cols>
    <col min="1" max="1" width="12" customWidth="1"/>
    <col min="2" max="2" width="20" customWidth="1"/>
    <col min="3" max="3" width="16" customWidth="1"/>
    <col min="4" max="4" width="22" customWidth="1"/>
    <col min="5" max="5" width="14" customWidth="1"/>
    <col min="6" max="6" width="26" customWidth="1"/>
  </cols>
  <sheetData>
    <row r="1" spans="1:6" ht="34.950000000000003" customHeight="1" x14ac:dyDescent="0.3">
      <c r="A1" s="70" t="s">
        <v>282</v>
      </c>
      <c r="B1" s="71"/>
      <c r="C1" s="71"/>
      <c r="D1" s="71"/>
      <c r="E1" s="71"/>
      <c r="F1" s="71"/>
    </row>
    <row r="2" spans="1:6" ht="22.05" customHeight="1" x14ac:dyDescent="0.3">
      <c r="A2" s="54" t="s">
        <v>0</v>
      </c>
      <c r="B2" s="54" t="s">
        <v>254</v>
      </c>
      <c r="C2" s="54" t="s">
        <v>5</v>
      </c>
      <c r="D2" s="54" t="s">
        <v>283</v>
      </c>
      <c r="E2" s="54" t="s">
        <v>284</v>
      </c>
      <c r="F2" s="54" t="s">
        <v>285</v>
      </c>
    </row>
    <row r="3" spans="1:6" ht="19.95" customHeight="1" x14ac:dyDescent="0.3">
      <c r="A3" s="55" t="s">
        <v>92</v>
      </c>
      <c r="B3" s="56" t="s">
        <v>26</v>
      </c>
      <c r="C3" s="57">
        <v>85000</v>
      </c>
      <c r="D3" s="58" t="s">
        <v>286</v>
      </c>
      <c r="E3" s="55">
        <v>72</v>
      </c>
      <c r="F3" s="59" t="s">
        <v>287</v>
      </c>
    </row>
    <row r="4" spans="1:6" ht="19.95" customHeight="1" x14ac:dyDescent="0.3">
      <c r="A4" s="60" t="s">
        <v>139</v>
      </c>
      <c r="B4" s="61" t="s">
        <v>33</v>
      </c>
      <c r="C4" s="62">
        <v>120000</v>
      </c>
      <c r="D4" s="63" t="s">
        <v>288</v>
      </c>
      <c r="E4" s="60">
        <v>0</v>
      </c>
      <c r="F4" s="64" t="s">
        <v>289</v>
      </c>
    </row>
    <row r="5" spans="1:6" ht="19.95" customHeight="1" x14ac:dyDescent="0.3">
      <c r="A5" s="65" t="s">
        <v>157</v>
      </c>
      <c r="B5" s="66" t="s">
        <v>40</v>
      </c>
      <c r="C5" s="67">
        <v>45000</v>
      </c>
      <c r="D5" s="68" t="s">
        <v>290</v>
      </c>
      <c r="E5" s="65">
        <v>0</v>
      </c>
      <c r="F5" s="69" t="s">
        <v>291</v>
      </c>
    </row>
    <row r="6" spans="1:6" ht="19.95" customHeight="1" x14ac:dyDescent="0.3">
      <c r="A6" s="55" t="s">
        <v>182</v>
      </c>
      <c r="B6" s="56" t="s">
        <v>49</v>
      </c>
      <c r="C6" s="57">
        <v>200000</v>
      </c>
      <c r="D6" s="58" t="s">
        <v>292</v>
      </c>
      <c r="E6" s="55">
        <v>95</v>
      </c>
      <c r="F6" s="59" t="s">
        <v>293</v>
      </c>
    </row>
    <row r="7" spans="1:6" ht="19.95" customHeight="1" x14ac:dyDescent="0.3">
      <c r="A7" s="60" t="s">
        <v>216</v>
      </c>
      <c r="B7" s="61" t="s">
        <v>54</v>
      </c>
      <c r="C7" s="62">
        <v>33000</v>
      </c>
      <c r="D7" s="63" t="s">
        <v>294</v>
      </c>
      <c r="E7" s="60">
        <v>0</v>
      </c>
      <c r="F7" s="64" t="s">
        <v>295</v>
      </c>
    </row>
    <row r="8" spans="1:6" ht="19.95" customHeight="1" x14ac:dyDescent="0.3">
      <c r="A8" s="65" t="s">
        <v>231</v>
      </c>
      <c r="B8" s="66" t="s">
        <v>65</v>
      </c>
      <c r="C8" s="67">
        <v>67000</v>
      </c>
      <c r="D8" s="68" t="s">
        <v>296</v>
      </c>
      <c r="E8" s="65">
        <v>38</v>
      </c>
      <c r="F8" s="69" t="s">
        <v>297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 Data</vt:lpstr>
      <vt:lpstr>MIS Summary</vt:lpstr>
      <vt:lpstr>Monthly Trend</vt:lpstr>
      <vt:lpstr>Aging Analysis</vt:lpstr>
      <vt:lpstr>Vendor Analysis</vt:lpstr>
      <vt:lpstr>Exception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zainab shaikh</cp:lastModifiedBy>
  <dcterms:created xsi:type="dcterms:W3CDTF">2026-06-16T05:05:03Z</dcterms:created>
  <dcterms:modified xsi:type="dcterms:W3CDTF">2026-06-20T06:08:33Z</dcterms:modified>
</cp:coreProperties>
</file>